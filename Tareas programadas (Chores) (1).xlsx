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_rels/sheet8.xml.rels" ContentType="application/vnd.openxmlformats-package.relationships+xml"/>
  <Override PartName="/xl/drawings/vmlDrawing1.vml" ContentType="application/vnd.openxmlformats-officedocument.vmlDrawing"/>
  <Override PartName="/xl/styles.xml" ContentType="application/vnd.openxmlformats-officedocument.spreadsheetml.styles+xml"/>
  <Override PartName="/xl/_rels/workbook.xml.rels" ContentType="application/vnd.openxmlformats-package.relationships+xml"/>
  <Override PartName="/xl/comments8.xml" ContentType="application/vnd.openxmlformats-officedocument.spreadsheetml.comment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3.xml" ContentType="application/vnd.openxmlformats-officedocument.customXml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Antes del 12-10-2023" sheetId="1" state="visible" r:id="rId3"/>
    <sheet name="Previo al 12-10-2023" sheetId="2" state="visible" r:id="rId4"/>
    <sheet name="Modificaciones del 07-11-2023" sheetId="3" state="visible" r:id="rId5"/>
    <sheet name="TIS 1126 | 19-12-2023" sheetId="4" state="visible" r:id="rId6"/>
    <sheet name="Hoja1" sheetId="5" state="visible" r:id="rId7"/>
    <sheet name="Gastos" sheetId="6" state="visible" r:id="rId8"/>
    <sheet name="Hoja2" sheetId="7" state="visible" r:id="rId9"/>
    <sheet name="Q1-Ene" sheetId="8" state="visible" r:id="rId10"/>
    <sheet name="Hoja3" sheetId="9" state="visible" r:id="rId11"/>
    <sheet name="Q2-Ene" sheetId="10" state="visible" r:id="rId12"/>
    <sheet name="Q1-Feb" sheetId="11" state="visible" r:id="rId13"/>
    <sheet name="Q2-Feb" sheetId="12" state="visible" r:id="rId14"/>
    <sheet name="Q1-Mar" sheetId="13" state="visible" r:id="rId15"/>
    <sheet name="Q2-Mar" sheetId="14" state="visible" r:id="rId16"/>
    <sheet name="Q1-Abril" sheetId="15" state="visible" r:id="rId17"/>
    <sheet name="Q2-Abril" sheetId="16" state="visible" r:id="rId18"/>
    <sheet name="Q1-May" sheetId="17" state="visible" r:id="rId19"/>
    <sheet name="Q2-May" sheetId="18" state="visible" r:id="rId20"/>
    <sheet name="Q1-Jun" sheetId="19" state="visible" r:id="rId21"/>
    <sheet name="Q2-Jun" sheetId="20" state="visible" r:id="rId22"/>
    <sheet name="Q1 - Jul" sheetId="21" state="visible" r:id="rId23"/>
    <sheet name="Q1 - Ago" sheetId="22" state="visible" r:id="rId24"/>
    <sheet name="Q2 - Ago " sheetId="23" state="visible" r:id="rId25"/>
    <sheet name="Q1 - Sep" sheetId="24" state="visible" r:id="rId26"/>
    <sheet name="Q2 - Sep" sheetId="25" state="visible" r:id="rId27"/>
    <sheet name="Q1 - Oct" sheetId="26" state="visible" r:id="rId28"/>
    <sheet name="Q2 - Oct" sheetId="27" state="visible" r:id="rId29"/>
    <sheet name="Q1 - Nov" sheetId="28" state="visible" r:id="rId30"/>
    <sheet name="Inversión Neón" sheetId="29" state="visible" r:id="rId31"/>
    <sheet name="Gatos de casa" sheetId="30" state="visible" r:id="rId32"/>
    <sheet name="Todas mis deudas" sheetId="31" state="visible" r:id="rId33"/>
    <sheet name="Deudas Gris" sheetId="32" state="visible" r:id="rId3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8.xml><?xml version="1.0" encoding="utf-8"?>
<comments xmlns="http://schemas.openxmlformats.org/spreadsheetml/2006/main" xmlns:xdr="http://schemas.openxmlformats.org/drawingml/2006/spreadsheetDrawing">
  <authors>
    <author>david.banda</author>
  </authors>
  <commentList>
    <comment ref="C5" authorId="0">
      <text>
        <r>
          <rPr>
            <sz val="10"/>
            <rFont val="Arial"/>
            <family val="2"/>
          </rPr>
          <t xml:space="preserve">david.banda:
</t>
        </r>
        <r>
          <rPr>
            <sz val="9"/>
            <color rgb="FF000000"/>
            <rFont val="Tahoma"/>
            <family val="0"/>
            <charset val="1"/>
          </rPr>
          <t xml:space="preserve">Necesito sacar el mole + lo del sistema
</t>
        </r>
      </text>
    </comment>
  </commentList>
</comments>
</file>

<file path=xl/sharedStrings.xml><?xml version="1.0" encoding="utf-8"?>
<sst xmlns="http://schemas.openxmlformats.org/spreadsheetml/2006/main" count="1031" uniqueCount="383">
  <si>
    <t xml:space="preserve">Desarrollo</t>
  </si>
  <si>
    <t xml:space="preserve">Tarea</t>
  </si>
  <si>
    <t xml:space="preserve">Planificación</t>
  </si>
  <si>
    <t xml:space="preserve">Fecha</t>
  </si>
  <si>
    <t xml:space="preserve">Hora</t>
  </si>
  <si>
    <t xml:space="preserve">Frecuencia</t>
  </si>
  <si>
    <t xml:space="preserve">Notas</t>
  </si>
  <si>
    <t xml:space="preserve">GIG_01</t>
  </si>
  <si>
    <t xml:space="preserve">00_Backup</t>
  </si>
  <si>
    <t xml:space="preserve">13 horas</t>
  </si>
  <si>
    <t xml:space="preserve">Hora UTC: 07:00</t>
  </si>
  <si>
    <t xml:space="preserve">08_Save_Data_All</t>
  </si>
  <si>
    <t xml:space="preserve">11 horas 58 minutos</t>
  </si>
  <si>
    <t xml:space="preserve">Hora no valida</t>
  </si>
  <si>
    <t xml:space="preserve">09_Import_Dim_OPEX_OCMURG_To_DWH</t>
  </si>
  <si>
    <t xml:space="preserve">Diariamente</t>
  </si>
  <si>
    <t xml:space="preserve">Hora UTC: 05:00</t>
  </si>
  <si>
    <t xml:space="preserve">Upload_04_OPEX_08_OCMUR_Consolida_PPTO</t>
  </si>
  <si>
    <t xml:space="preserve">Upload_04_OPEX_08_OCMUR_Consolida_REAL</t>
  </si>
  <si>
    <t xml:space="preserve">Hora UTC: 12:00</t>
  </si>
  <si>
    <t xml:space="preserve">Upload_All_Model_On_Demand</t>
  </si>
  <si>
    <t xml:space="preserve">Hora UTC: 10:30</t>
  </si>
  <si>
    <t xml:space="preserve">Upload_DIM_GOP_01_Gerencias_Operaciones</t>
  </si>
  <si>
    <t xml:space="preserve">Hora UTC: 07:50</t>
  </si>
  <si>
    <t xml:space="preserve">Upload_DWH_Data_04_OPEX_08_OCMUR_Consolida_PPTO</t>
  </si>
  <si>
    <t xml:space="preserve">Hora UTC: 07:30</t>
  </si>
  <si>
    <t xml:space="preserve">GIG_02</t>
  </si>
  <si>
    <t xml:space="preserve">Hora UTC: 01:00</t>
  </si>
  <si>
    <t xml:space="preserve">05_Save_Data_All</t>
  </si>
  <si>
    <t xml:space="preserve">12 horas</t>
  </si>
  <si>
    <t xml:space="preserve">Hora no válida</t>
  </si>
  <si>
    <t xml:space="preserve">Upload_All_Models</t>
  </si>
  <si>
    <t xml:space="preserve">Hora UTC: 11:00</t>
  </si>
  <si>
    <t xml:space="preserve">Hora UTC: 07:40</t>
  </si>
  <si>
    <t xml:space="preserve">GIG_03</t>
  </si>
  <si>
    <t xml:space="preserve">04_SaveData_All</t>
  </si>
  <si>
    <t xml:space="preserve">Import_Dim_Cuentas_Costos_Ingresos_To_DWH</t>
  </si>
  <si>
    <t xml:space="preserve">Hora UTC: 11:30</t>
  </si>
  <si>
    <t xml:space="preserve">Hora UTC: 07:55</t>
  </si>
  <si>
    <t xml:space="preserve">GIG_04</t>
  </si>
  <si>
    <t xml:space="preserve">02_Import_Data_01_KPI_Calculos_To_02_KPI_Metric_E3_B</t>
  </si>
  <si>
    <t xml:space="preserve">Hora UTC: 13:50</t>
  </si>
  <si>
    <t xml:space="preserve">02_Import_Data_From_01_02_03_To_01_KPI_Calculos_E3_A</t>
  </si>
  <si>
    <t xml:space="preserve">Hora UTC: 13:40</t>
  </si>
  <si>
    <t xml:space="preserve">ALL_GIG04</t>
  </si>
  <si>
    <t xml:space="preserve">Hora UTC: 05:45</t>
  </si>
  <si>
    <t xml:space="preserve">GIG_05</t>
  </si>
  <si>
    <t xml:space="preserve"> 00_Backup</t>
  </si>
  <si>
    <t xml:space="preserve">Hora UTC: 10:00</t>
  </si>
  <si>
    <t xml:space="preserve">01_Import_Dim_00_COSTOS_Gerencia_Operaciones</t>
  </si>
  <si>
    <t xml:space="preserve">01_Import_Dim_00_COSTOS_Partida_Urbano</t>
  </si>
  <si>
    <t xml:space="preserve"> 03_Export_15_POA_inicios_Terminos_To_DWH</t>
  </si>
  <si>
    <t xml:space="preserve">Hora UTC: 04:00</t>
  </si>
  <si>
    <t xml:space="preserve">AD_DED TO DWH</t>
  </si>
  <si>
    <t xml:space="preserve">ADD_DED_TO_DWH_VER</t>
  </si>
  <si>
    <t xml:space="preserve">Costo_Real_TO_CUBE_COSTOS</t>
  </si>
  <si>
    <t xml:space="preserve">Hora UTC: 14:00</t>
  </si>
  <si>
    <t xml:space="preserve">COSTO_URB TO DWH</t>
  </si>
  <si>
    <t xml:space="preserve">COSTO_VER_DWH</t>
  </si>
  <si>
    <t xml:space="preserve">PRON_DWH_TO_TM1_URB</t>
  </si>
  <si>
    <t xml:space="preserve">Hora UTC: 13:11</t>
  </si>
  <si>
    <t xml:space="preserve">PRON_DWH_TO_TM1_VER</t>
  </si>
  <si>
    <t xml:space="preserve">Hora UTC: 1:33</t>
  </si>
  <si>
    <t xml:space="preserve">PRON_TO_AUTO_URB</t>
  </si>
  <si>
    <t xml:space="preserve">Hora UTC: 5:15</t>
  </si>
  <si>
    <t xml:space="preserve"> PRON_TO_AUTO_VER</t>
  </si>
  <si>
    <t xml:space="preserve">Hora UTC: 5:00</t>
  </si>
  <si>
    <t xml:space="preserve">Hora UTC: 12:03</t>
  </si>
  <si>
    <t xml:space="preserve">Hora UTC: 12:06</t>
  </si>
  <si>
    <t xml:space="preserve">Hora UTC: 12:09</t>
  </si>
  <si>
    <t xml:space="preserve">Hora UTC: 12:12</t>
  </si>
  <si>
    <t xml:space="preserve">Ahorro yo</t>
  </si>
  <si>
    <t xml:space="preserve">ahorro atos</t>
  </si>
  <si>
    <t xml:space="preserve">extras</t>
  </si>
  <si>
    <t xml:space="preserve">suma</t>
  </si>
  <si>
    <t xml:space="preserve">deuda santa</t>
  </si>
  <si>
    <t xml:space="preserve">diferencia</t>
  </si>
  <si>
    <t xml:space="preserve">Prestamo auto roña</t>
  </si>
  <si>
    <t xml:space="preserve">Deuda Madre</t>
  </si>
  <si>
    <t xml:space="preserve">Supuesto</t>
  </si>
  <si>
    <t xml:space="preserve">deuda base</t>
  </si>
  <si>
    <t xml:space="preserve">interes</t>
  </si>
  <si>
    <t xml:space="preserve">deuda real</t>
  </si>
  <si>
    <t xml:space="preserve">ado</t>
  </si>
  <si>
    <t xml:space="preserve">Pagos</t>
  </si>
  <si>
    <t xml:space="preserve">1000 UN</t>
  </si>
  <si>
    <t xml:space="preserve">Mes</t>
  </si>
  <si>
    <t xml:space="preserve">cantidad</t>
  </si>
  <si>
    <t xml:space="preserve">acumulado</t>
  </si>
  <si>
    <t xml:space="preserve">saldo</t>
  </si>
  <si>
    <t xml:space="preserve">Extras</t>
  </si>
  <si>
    <t xml:space="preserve">Noviembre</t>
  </si>
  <si>
    <t xml:space="preserve">tanda</t>
  </si>
  <si>
    <t xml:space="preserve">Diciembre</t>
  </si>
  <si>
    <t xml:space="preserve">aguinaldo</t>
  </si>
  <si>
    <t xml:space="preserve">Enero</t>
  </si>
  <si>
    <t xml:space="preserve">Febrero</t>
  </si>
  <si>
    <t xml:space="preserve">tanda-aurrera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</si>
  <si>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</si>
  <si>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</si>
  <si>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</si>
  <si>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</si>
  <si>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</si>
  <si>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</si>
  <si>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</si>
  <si>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</si>
  <si>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Quincena</t>
  </si>
  <si>
    <t xml:space="preserve">COPPEL MADRE</t>
  </si>
  <si>
    <t xml:space="preserve">Ingresos David</t>
  </si>
  <si>
    <t xml:space="preserve">Sueldo Normal Mes</t>
  </si>
  <si>
    <t xml:space="preserve">Vales</t>
  </si>
  <si>
    <t xml:space="preserve">deuda gris</t>
  </si>
  <si>
    <t xml:space="preserve">Gas auto</t>
  </si>
  <si>
    <t xml:space="preserve">Renta</t>
  </si>
  <si>
    <t xml:space="preserve">Gas</t>
  </si>
  <si>
    <t xml:space="preserve">MercadoPago</t>
  </si>
  <si>
    <t xml:space="preserve">Coppel</t>
  </si>
  <si>
    <t xml:space="preserve">Prestamo madre</t>
  </si>
  <si>
    <t xml:space="preserve">Luz</t>
  </si>
  <si>
    <t xml:space="preserve">despensa y comida</t>
  </si>
  <si>
    <t xml:space="preserve">bbva</t>
  </si>
  <si>
    <t xml:space="preserve">total</t>
  </si>
  <si>
    <t xml:space="preserve">Plan A</t>
  </si>
  <si>
    <t xml:space="preserve">Plan B</t>
  </si>
  <si>
    <t xml:space="preserve">Plan C</t>
  </si>
  <si>
    <t xml:space="preserve">Plan D</t>
  </si>
  <si>
    <t xml:space="preserve">Plan Deudas</t>
  </si>
  <si>
    <t xml:space="preserve">Carro</t>
  </si>
  <si>
    <t xml:space="preserve">Abono madre</t>
  </si>
  <si>
    <t xml:space="preserve">Liquidar saldo ML</t>
  </si>
  <si>
    <t xml:space="preserve">lo de la tanda va a ser para detallar el carro</t>
  </si>
  <si>
    <t xml:space="preserve">Reyes/Navidad</t>
  </si>
  <si>
    <t xml:space="preserve">Abonar BBVA</t>
  </si>
  <si>
    <t xml:space="preserve">prima vacas/aguinaldo</t>
  </si>
  <si>
    <t xml:space="preserve">Regalo gris</t>
  </si>
  <si>
    <t xml:space="preserve">tot</t>
  </si>
  <si>
    <t xml:space="preserve">Concierto</t>
  </si>
  <si>
    <t xml:space="preserve">refri</t>
  </si>
  <si>
    <t xml:space="preserve">llanta</t>
  </si>
  <si>
    <t xml:space="preserve">ropa coppel</t>
  </si>
  <si>
    <t xml:space="preserve">esperar por si sale algo caro del carro, pila por ejemplo</t>
  </si>
  <si>
    <t xml:space="preserve">boleto francisco</t>
  </si>
  <si>
    <t xml:space="preserve">agui</t>
  </si>
  <si>
    <t xml:space="preserve">regalo gris</t>
  </si>
  <si>
    <t xml:space="preserve">Nu</t>
  </si>
  <si>
    <t xml:space="preserve">regalo gab</t>
  </si>
  <si>
    <t xml:space="preserve">Citi</t>
  </si>
  <si>
    <t xml:space="preserve">cumple gris</t>
  </si>
  <si>
    <t xml:space="preserve">cumple gab </t>
  </si>
  <si>
    <t xml:space="preserve">pilotos</t>
  </si>
  <si>
    <t xml:space="preserve">stray kids</t>
  </si>
  <si>
    <t xml:space="preserve">carro</t>
  </si>
  <si>
    <t xml:space="preserve">coppel</t>
  </si>
  <si>
    <t xml:space="preserve">pedirle a la Gaby algo o como va a pagar su mochila</t>
  </si>
  <si>
    <t xml:space="preserve">me deben 250 de la luz ma</t>
  </si>
  <si>
    <t xml:space="preserve">Gris me debe 722 coppel</t>
  </si>
  <si>
    <t xml:space="preserve">guardar pal carro</t>
  </si>
  <si>
    <t xml:space="preserve">No tan probable 500 renta</t>
  </si>
  <si>
    <t xml:space="preserve">comida</t>
  </si>
  <si>
    <t xml:space="preserve">sueldo quincenal</t>
  </si>
  <si>
    <t xml:space="preserve">Gastos</t>
  </si>
  <si>
    <t xml:space="preserve">Didi</t>
  </si>
  <si>
    <t xml:space="preserve">Detalles actuales</t>
  </si>
  <si>
    <t xml:space="preserve">Citi Q1</t>
  </si>
  <si>
    <t xml:space="preserve">prestamo</t>
  </si>
  <si>
    <t xml:space="preserve">Llantas</t>
  </si>
  <si>
    <t xml:space="preserve">despues de pagos</t>
  </si>
  <si>
    <t xml:space="preserve">Se podría arreglar auto y/o invertir</t>
  </si>
  <si>
    <t xml:space="preserve">Papeles</t>
  </si>
  <si>
    <t xml:space="preserve">Internet</t>
  </si>
  <si>
    <t xml:space="preserve">Licencia</t>
  </si>
  <si>
    <t xml:space="preserve">Multa Verificar</t>
  </si>
  <si>
    <t xml:space="preserve">Gasto semanal</t>
  </si>
  <si>
    <t xml:space="preserve">Verificar</t>
  </si>
  <si>
    <t xml:space="preserve">Mecánico</t>
  </si>
  <si>
    <t xml:space="preserve">Tanda</t>
  </si>
  <si>
    <t xml:space="preserve">Madre </t>
  </si>
  <si>
    <t xml:space="preserve">Otros</t>
  </si>
  <si>
    <t xml:space="preserve">Resta</t>
  </si>
  <si>
    <t xml:space="preserve">Para la última quincena de enero debo de juntar $3640 </t>
  </si>
  <si>
    <t xml:space="preserve">ML</t>
  </si>
  <si>
    <t xml:space="preserve">GASTO</t>
  </si>
  <si>
    <t xml:space="preserve">CITI</t>
  </si>
  <si>
    <t xml:space="preserve">NU</t>
  </si>
  <si>
    <t xml:space="preserve">RESTAN</t>
  </si>
  <si>
    <t xml:space="preserve">TPS DEVOLUCIÓN</t>
  </si>
  <si>
    <t xml:space="preserve">DINERO CHOCO</t>
  </si>
  <si>
    <t xml:space="preserve">Ingresos</t>
  </si>
  <si>
    <t xml:space="preserve">Dinero guardado</t>
  </si>
  <si>
    <t xml:space="preserve">venta oax</t>
  </si>
  <si>
    <t xml:space="preserve">debo aprox</t>
  </si>
  <si>
    <t xml:space="preserve">venta combinada</t>
  </si>
  <si>
    <t xml:space="preserve">Comidas</t>
  </si>
  <si>
    <t xml:space="preserve">Madre</t>
  </si>
  <si>
    <t xml:space="preserve">*</t>
  </si>
  <si>
    <t xml:space="preserve">Pago Citi</t>
  </si>
  <si>
    <t xml:space="preserve">Colcha gaby</t>
  </si>
  <si>
    <t xml:space="preserve">Ingreso nomral aprox</t>
  </si>
  <si>
    <t xml:space="preserve">por ahora </t>
  </si>
  <si>
    <t xml:space="preserve">me debe 1000 mi tía</t>
  </si>
  <si>
    <t xml:space="preserve">comidas</t>
  </si>
  <si>
    <t xml:space="preserve">deudas y diversión</t>
  </si>
  <si>
    <t xml:space="preserve">ahorro</t>
  </si>
  <si>
    <t xml:space="preserve">sacar</t>
  </si>
  <si>
    <t xml:space="preserve">Tengo en cartera</t>
  </si>
  <si>
    <t xml:space="preserve">Voy a usar la caja como dinero de la semana, me restan</t>
  </si>
  <si>
    <t xml:space="preserve">Mayoreo</t>
  </si>
  <si>
    <t xml:space="preserve">Semanas</t>
  </si>
  <si>
    <t xml:space="preserve">me falta sacar 1000, los otros los tomare de franc y gaby</t>
  </si>
  <si>
    <t xml:space="preserve">compras super</t>
  </si>
  <si>
    <t xml:space="preserve">puedo retirar o guardarlo</t>
  </si>
  <si>
    <t xml:space="preserve">Tarjeta Citi</t>
  </si>
  <si>
    <t xml:space="preserve">2291 total</t>
  </si>
  <si>
    <t xml:space="preserve">en cajita</t>
  </si>
  <si>
    <t xml:space="preserve">Tarjeta Un</t>
  </si>
  <si>
    <t xml:space="preserve">mas lo de san angel</t>
  </si>
  <si>
    <t xml:space="preserve">lo engo en la tarjeta</t>
  </si>
  <si>
    <t xml:space="preserve">TOTAL GASTOS</t>
  </si>
  <si>
    <t xml:space="preserve">POSIBLE AHORRO</t>
  </si>
  <si>
    <t xml:space="preserve">Con el dinero que tengo quizás hago</t>
  </si>
  <si>
    <t xml:space="preserve">Según mi cuenta solo dispongo de esto para deudas o diversión</t>
  </si>
  <si>
    <t xml:space="preserve">Sacar licencia</t>
  </si>
  <si>
    <t xml:space="preserve">Checar lo de el bulbo</t>
  </si>
  <si>
    <t xml:space="preserve">checar mis luces con el electrico o alguien más</t>
  </si>
  <si>
    <t xml:space="preserve">Ahorrado fisico</t>
  </si>
  <si>
    <t xml:space="preserve">Ahorrado banca</t>
  </si>
  <si>
    <t xml:space="preserve">Pagos 28-02 al 13-03</t>
  </si>
  <si>
    <t xml:space="preserve">s1</t>
  </si>
  <si>
    <t xml:space="preserve">s2</t>
  </si>
  <si>
    <t xml:space="preserve">jan</t>
  </si>
  <si>
    <t xml:space="preserve">san angel</t>
  </si>
  <si>
    <t xml:space="preserve">q2</t>
  </si>
  <si>
    <t xml:space="preserve">Tarjeta nu</t>
  </si>
  <si>
    <t xml:space="preserve">yo</t>
  </si>
  <si>
    <t xml:space="preserve">tanda gris</t>
  </si>
  <si>
    <t xml:space="preserve">Tratar de amarrarlos para pagar mis deudas de la citi</t>
  </si>
  <si>
    <t xml:space="preserve">Pagos 14-03 al 30-03</t>
  </si>
  <si>
    <t xml:space="preserve">Pagos 31-03 al 14-03</t>
  </si>
  <si>
    <t xml:space="preserve">deuda citi</t>
  </si>
  <si>
    <t xml:space="preserve">sema</t>
  </si>
  <si>
    <t xml:space="preserve">.-</t>
  </si>
  <si>
    <t xml:space="preserve">Puto carro</t>
  </si>
  <si>
    <t xml:space="preserve">Cumple Dara</t>
  </si>
  <si>
    <t xml:space="preserve">Gastos de la fiestilla</t>
  </si>
  <si>
    <t xml:space="preserve">S1</t>
  </si>
  <si>
    <t xml:space="preserve">Llanta</t>
  </si>
  <si>
    <t xml:space="preserve">TOTAL GASTO</t>
  </si>
  <si>
    <t xml:space="preserve">Prestamo méxico Beto</t>
  </si>
  <si>
    <t xml:space="preserve">Prestamo méxico Chico</t>
  </si>
  <si>
    <t xml:space="preserve">buscar dejarlo en 3000</t>
  </si>
  <si>
    <t xml:space="preserve">Gasto méxico</t>
  </si>
  <si>
    <t xml:space="preserve">tengo fisico</t>
  </si>
  <si>
    <t xml:space="preserve">AHORRO</t>
  </si>
  <si>
    <t xml:space="preserve">Prestamo boletos chico</t>
  </si>
  <si>
    <t xml:space="preserve">De lo que sobre de moto y/o Gas se ocupa en deudas</t>
  </si>
  <si>
    <t xml:space="preserve">Arreglos moto</t>
  </si>
  <si>
    <t xml:space="preserve">Guardería Dara</t>
  </si>
  <si>
    <t xml:space="preserve">Por ahora no suman, esto es lo que debería abonar la siguiente quincena</t>
  </si>
  <si>
    <t xml:space="preserve">Quiero que realmente sea un ahorro</t>
  </si>
  <si>
    <t xml:space="preserve">ropa</t>
  </si>
  <si>
    <t xml:space="preserve">Lo que he gastado</t>
  </si>
  <si>
    <t xml:space="preserve">La 2da semana</t>
  </si>
  <si>
    <t xml:space="preserve">900 ya los saqué</t>
  </si>
  <si>
    <t xml:space="preserve">consulta dara y chcharas</t>
  </si>
  <si>
    <t xml:space="preserve">Sacar 2600, apartar 1500</t>
  </si>
  <si>
    <t xml:space="preserve">La siguientes semanas guardaré 1450 por quincena hasta cubrir pagos Dara</t>
  </si>
  <si>
    <t xml:space="preserve">Reinscripción Dara</t>
  </si>
  <si>
    <t xml:space="preserve">Regalo Adán</t>
  </si>
  <si>
    <t xml:space="preserve">dejar para regalos</t>
  </si>
  <si>
    <t xml:space="preserve">Gasto Gris CDMX</t>
  </si>
  <si>
    <t xml:space="preserve">En tarjeta</t>
  </si>
  <si>
    <t xml:space="preserve">Plan de gastos</t>
  </si>
  <si>
    <t xml:space="preserve">La mitad esta Q, el 25 del mes acompleto</t>
  </si>
  <si>
    <t xml:space="preserve">Gas casa</t>
  </si>
  <si>
    <t xml:space="preserve">Le resto 600 de lo que me da Gris</t>
  </si>
  <si>
    <t xml:space="preserve">Hosting Lemus</t>
  </si>
  <si>
    <t xml:space="preserve">Dado que ya me gasté ese dinero…</t>
  </si>
  <si>
    <t xml:space="preserve">TDC Coppel</t>
  </si>
  <si>
    <t xml:space="preserve">No lo cuento por que me lo dará Gris</t>
  </si>
  <si>
    <t xml:space="preserve">Las semanas de despensa no deben superar 900 que es lo que coopera Chicorita</t>
  </si>
  <si>
    <t xml:space="preserve">Se compra hoy 14 y el 21</t>
  </si>
  <si>
    <t xml:space="preserve">Abono coppel</t>
  </si>
  <si>
    <t xml:space="preserve">Prestamo Coppel</t>
  </si>
  <si>
    <t xml:space="preserve">Tarejta coppel</t>
  </si>
  <si>
    <t xml:space="preserve">renta</t>
  </si>
  <si>
    <t xml:space="preserve">Ahorrado banca, viaticos</t>
  </si>
  <si>
    <t xml:space="preserve">banca</t>
  </si>
  <si>
    <t xml:space="preserve">menos guard</t>
  </si>
  <si>
    <t xml:space="preserve">menos net</t>
  </si>
  <si>
    <t xml:space="preserve">Churros</t>
  </si>
  <si>
    <t xml:space="preserve">Gaby prestado</t>
  </si>
  <si>
    <t xml:space="preserve">Para el 7 de sept</t>
  </si>
  <si>
    <t xml:space="preserve">chico</t>
  </si>
  <si>
    <t xml:space="preserve">Estimado ahorro q1 - dic</t>
  </si>
  <si>
    <t xml:space="preserve">si guaro 1k cada quincena</t>
  </si>
  <si>
    <t xml:space="preserve">guardado ahorro job</t>
  </si>
  <si>
    <t xml:space="preserve">Aguinaldo</t>
  </si>
  <si>
    <t xml:space="preserve">Meta ahorro para salir a Oax</t>
  </si>
  <si>
    <t xml:space="preserve">gasto</t>
  </si>
  <si>
    <t xml:space="preserve">Tarjeta coppel</t>
  </si>
  <si>
    <t xml:space="preserve">Estudios Gris</t>
  </si>
  <si>
    <t xml:space="preserve">viaje</t>
  </si>
  <si>
    <t xml:space="preserve">pachanga</t>
  </si>
  <si>
    <t xml:space="preserve">Despensa</t>
  </si>
  <si>
    <t xml:space="preserve">Deuda Gaby</t>
  </si>
  <si>
    <t xml:space="preserve">+ 500 de la semana pasada</t>
  </si>
  <si>
    <t xml:space="preserve">Prestamo</t>
  </si>
  <si>
    <t xml:space="preserve">Tarjeta</t>
  </si>
  <si>
    <t xml:space="preserve">Consulta Gris</t>
  </si>
  <si>
    <t xml:space="preserve">Lo de chico</t>
  </si>
  <si>
    <t xml:space="preserve">menos carro</t>
  </si>
  <si>
    <t xml:space="preserve">Aporte gris</t>
  </si>
  <si>
    <t xml:space="preserve">Salida Adán</t>
  </si>
  <si>
    <t xml:space="preserve">Salida Madre</t>
  </si>
  <si>
    <t xml:space="preserve">Prima vacacional</t>
  </si>
  <si>
    <t xml:space="preserve">Ahorro restante</t>
  </si>
  <si>
    <t xml:space="preserve">Gente que me debe fería</t>
  </si>
  <si>
    <t xml:space="preserve">Gris</t>
  </si>
  <si>
    <t xml:space="preserve">prestamo coppel</t>
  </si>
  <si>
    <t xml:space="preserve">xbox</t>
  </si>
  <si>
    <t xml:space="preserve">PAGADO</t>
  </si>
  <si>
    <t xml:space="preserve">PAGO</t>
  </si>
  <si>
    <t xml:space="preserve">Gaby</t>
  </si>
  <si>
    <t xml:space="preserve">prestamo 12 Nov</t>
  </si>
  <si>
    <t xml:space="preserve">Boleto ADO</t>
  </si>
  <si>
    <t xml:space="preserve">Prestamos Oax</t>
  </si>
  <si>
    <t xml:space="preserve">Faros</t>
  </si>
  <si>
    <t xml:space="preserve">Presupuesto estimado</t>
  </si>
  <si>
    <t xml:space="preserve">Resto</t>
  </si>
  <si>
    <t xml:space="preserve">Revisión mecánica</t>
  </si>
  <si>
    <t xml:space="preserve">Arreglo meca putin</t>
  </si>
  <si>
    <t xml:space="preserve">prima vac</t>
  </si>
  <si>
    <t xml:space="preserve">Ahorro desde nov</t>
  </si>
  <si>
    <t xml:space="preserve">cel nuevo</t>
  </si>
  <si>
    <t xml:space="preserve">total oax</t>
  </si>
  <si>
    <t xml:space="preserve">Arreglo electrico</t>
  </si>
  <si>
    <t xml:space="preserve">Total</t>
  </si>
  <si>
    <t xml:space="preserve">Restan</t>
  </si>
  <si>
    <t xml:space="preserve">TOTAL MENSUAL</t>
  </si>
  <si>
    <t xml:space="preserve">P.M. AL MES</t>
  </si>
  <si>
    <t xml:space="preserve">P.M. A LA SEMANA</t>
  </si>
  <si>
    <t xml:space="preserve">P.M. A LA QUINCENA</t>
  </si>
  <si>
    <t xml:space="preserve">Integrante</t>
  </si>
  <si>
    <t xml:space="preserve">Salario</t>
  </si>
  <si>
    <t xml:space="preserve">Relación salarial</t>
  </si>
  <si>
    <t xml:space="preserve">Dara</t>
  </si>
  <si>
    <t xml:space="preserve">Compras en super</t>
  </si>
  <si>
    <t xml:space="preserve">David</t>
  </si>
  <si>
    <t xml:space="preserve">Compras en mayoreo</t>
  </si>
  <si>
    <t xml:space="preserve">Frank</t>
  </si>
  <si>
    <t xml:space="preserve">Gasto comida</t>
  </si>
  <si>
    <t xml:space="preserve">TOTAL</t>
  </si>
  <si>
    <t xml:space="preserve">Chico</t>
  </si>
  <si>
    <t xml:space="preserve">Semana</t>
  </si>
  <si>
    <t xml:space="preserve">Sueldo 1</t>
  </si>
  <si>
    <t xml:space="preserve">Compras super</t>
  </si>
  <si>
    <t xml:space="preserve">Gasolina</t>
  </si>
  <si>
    <t xml:space="preserve">Guardería</t>
  </si>
  <si>
    <t xml:space="preserve">Insumos bebé</t>
  </si>
  <si>
    <t xml:space="preserve">Deudas varias</t>
  </si>
  <si>
    <t xml:space="preserve">RESTO</t>
  </si>
  <si>
    <t xml:space="preserve">Prestamo paralquidar Santander (madre)</t>
  </si>
  <si>
    <t xml:space="preserve">Después de pagar esta quincena</t>
  </si>
  <si>
    <t xml:space="preserve">Prestamo carro</t>
  </si>
  <si>
    <t xml:space="preserve">BBVA crédito</t>
  </si>
  <si>
    <t xml:space="preserve">ML prestamo</t>
  </si>
  <si>
    <t xml:space="preserve">ML Credito</t>
  </si>
  <si>
    <t xml:space="preserve">CITI Credito</t>
  </si>
  <si>
    <t xml:space="preserve">Coppel yo</t>
  </si>
  <si>
    <t xml:space="preserve">Banorte</t>
  </si>
  <si>
    <t xml:space="preserve">frijol</t>
  </si>
  <si>
    <t xml:space="preserve">Mercado Pago</t>
  </si>
  <si>
    <t xml:space="preserve">cebolla</t>
  </si>
  <si>
    <t xml:space="preserve">Papa</t>
  </si>
  <si>
    <t xml:space="preserve">Stori</t>
  </si>
  <si>
    <t xml:space="preserve">chorizo</t>
  </si>
  <si>
    <t xml:space="preserve">tortilla</t>
  </si>
  <si>
    <t xml:space="preserve">manteca</t>
  </si>
  <si>
    <t xml:space="preserve">chile guajillo</t>
  </si>
  <si>
    <t xml:space="preserve">aluminio</t>
  </si>
  <si>
    <t xml:space="preserve">Lo que coppel te presta</t>
  </si>
  <si>
    <t xml:space="preserve">Lo que debes</t>
  </si>
  <si>
    <t xml:space="preserve">PAQUETES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</si>
</sst>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yyyy/mm/dd"/>
    <numFmt numFmtId="166" formatCode="h:mm"/>
    <numFmt numFmtId="167" formatCode="yyyy/m/d"/>
    <numFmt numFmtId="168" formatCode="[$-F400]h:mm:ss\ AM/PM"/>
    <numFmt numFmtId="169" formatCode="_-\$* #,##0.00_-;&quot;-$&quot;* #,##0.00_-;_-\$* \-??_-;_-@_-"/>
    <numFmt numFmtId="170" formatCode="0%"/>
    <numFmt numFmtId="171" formatCode="d\-mmm"/>
    <numFmt numFmtId="172" formatCode="\$#,##0;[RED]&quot;-$&quot;#,##0"/>
  </numFmts>
  <fonts count="13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Arial"/>
      <family val="0"/>
      <charset val="1"/>
    </font>
    <font>
      <b val="true"/>
      <sz val="10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name val="Arial"/>
      <family val="2"/>
    </font>
    <font>
      <sz val="9"/>
      <color rgb="FF000000"/>
      <name val="Tahoma"/>
      <family val="0"/>
      <charset val="1"/>
    </font>
    <font>
      <sz val="10"/>
      <color theme="0"/>
      <name val="Arial"/>
      <family val="2"/>
      <charset val="1"/>
    </font>
    <font>
      <b val="true"/>
      <sz val="10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B7B7B7"/>
        <bgColor rgb="FFA6A6A6"/>
      </patternFill>
    </fill>
    <fill>
      <patternFill patternType="solid">
        <fgColor rgb="FFFF0000"/>
        <bgColor rgb="FF800000"/>
      </patternFill>
    </fill>
    <fill>
      <patternFill patternType="solid">
        <fgColor rgb="FFFFFF00"/>
        <bgColor rgb="FFFDD768"/>
      </patternFill>
    </fill>
    <fill>
      <patternFill patternType="solid">
        <fgColor rgb="FF92D050"/>
        <bgColor rgb="FFA6E4B7"/>
      </patternFill>
    </fill>
    <fill>
      <patternFill patternType="solid">
        <fgColor rgb="FF00B050"/>
        <bgColor rgb="FF008080"/>
      </patternFill>
    </fill>
    <fill>
      <patternFill patternType="solid">
        <fgColor theme="8" tint="-0.25"/>
        <bgColor rgb="FFFF6600"/>
      </patternFill>
    </fill>
    <fill>
      <patternFill patternType="solid">
        <fgColor theme="2" tint="-0.5"/>
        <bgColor rgb="FF7F7F7F"/>
      </patternFill>
    </fill>
    <fill>
      <patternFill patternType="solid">
        <fgColor rgb="FF00B0F0"/>
        <bgColor rgb="FF33CCCC"/>
      </patternFill>
    </fill>
    <fill>
      <patternFill patternType="solid">
        <fgColor theme="2" tint="-0.1"/>
        <bgColor rgb="FFFEF2CD"/>
      </patternFill>
    </fill>
    <fill>
      <patternFill patternType="solid">
        <fgColor theme="8" tint="0.5999"/>
        <bgColor rgb="FFF7B4AE"/>
      </patternFill>
    </fill>
    <fill>
      <patternFill patternType="solid">
        <fgColor theme="9" tint="0.3999"/>
        <bgColor rgb="FFA6E4B7"/>
      </patternFill>
    </fill>
    <fill>
      <patternFill patternType="solid">
        <fgColor rgb="FFFFC000"/>
        <bgColor rgb="FFFBBC04"/>
      </patternFill>
    </fill>
    <fill>
      <patternFill patternType="solid">
        <fgColor theme="6" tint="0.5999"/>
        <bgColor rgb="FFFDD768"/>
      </patternFill>
    </fill>
    <fill>
      <patternFill patternType="solid">
        <fgColor theme="0" tint="-0.35"/>
        <bgColor rgb="FFB7B7B7"/>
      </patternFill>
    </fill>
    <fill>
      <patternFill patternType="solid">
        <fgColor theme="7" tint="0.5999"/>
        <bgColor rgb="FFB5E5E8"/>
      </patternFill>
    </fill>
    <fill>
      <patternFill patternType="solid">
        <fgColor theme="4" tint="0.3999"/>
        <bgColor rgb="FF90D7DD"/>
      </patternFill>
    </fill>
    <fill>
      <patternFill patternType="solid">
        <fgColor theme="5" tint="0.5999"/>
        <bgColor rgb="FFFFC599"/>
      </patternFill>
    </fill>
    <fill>
      <patternFill patternType="solid">
        <fgColor theme="9" tint="0.5999"/>
        <bgColor rgb="FFA6E4B7"/>
      </patternFill>
    </fill>
    <fill>
      <patternFill patternType="solid">
        <fgColor rgb="FF7030A0"/>
        <bgColor rgb="FF993366"/>
      </patternFill>
    </fill>
    <fill>
      <patternFill patternType="solid">
        <fgColor theme="6" tint="0.3999"/>
        <bgColor rgb="FFFDE49B"/>
      </patternFill>
    </fill>
    <fill>
      <patternFill patternType="solid">
        <fgColor theme="6" tint="0.7999"/>
        <bgColor rgb="FFE6E6E6"/>
      </patternFill>
    </fill>
    <fill>
      <patternFill patternType="solid">
        <fgColor theme="1" tint="0.4999"/>
        <bgColor rgb="FF808080"/>
      </patternFill>
    </fill>
    <fill>
      <patternFill patternType="solid">
        <fgColor theme="6"/>
        <bgColor rgb="FFFFC0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/>
      <right style="thin"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9" fontId="0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170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6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5" fontId="6" fillId="0" borderId="1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0" fillId="0" borderId="0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1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6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0" fillId="8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10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12" borderId="1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9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9" fontId="0" fillId="5" borderId="0" xfId="17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2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1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8EB6F8"/>
      <rgbColor rgb="FF7030A0"/>
      <rgbColor rgb="FFFEF2CD"/>
      <rgbColor rgb="FFE6E6E6"/>
      <rgbColor rgb="FF660066"/>
      <rgbColor rgb="FFFF8080"/>
      <rgbColor rgb="FF0066CC"/>
      <rgbColor rgb="FFB5E5E8"/>
      <rgbColor rgb="FF000080"/>
      <rgbColor rgb="FFFF00FF"/>
      <rgbColor rgb="FFFDD768"/>
      <rgbColor rgb="FF00FFFF"/>
      <rgbColor rgb="FF800080"/>
      <rgbColor rgb="FF800000"/>
      <rgbColor rgb="FF008080"/>
      <rgbColor rgb="FF0000FF"/>
      <rgbColor rgb="FF00B0F0"/>
      <rgbColor rgb="FFCCFFFF"/>
      <rgbColor rgb="FFA6E4B7"/>
      <rgbColor rgb="FFFDE49B"/>
      <rgbColor rgb="FF90D7DD"/>
      <rgbColor rgb="FFF7B4AE"/>
      <rgbColor rgb="FFCC99FF"/>
      <rgbColor rgb="FFFFC599"/>
      <rgbColor rgb="FF3366FF"/>
      <rgbColor rgb="FF33CCCC"/>
      <rgbColor rgb="FF92D050"/>
      <rgbColor rgb="FFFFC000"/>
      <rgbColor rgb="FFFBBC04"/>
      <rgbColor rgb="FFFF6600"/>
      <rgbColor rgb="FF7F7F7F"/>
      <rgbColor rgb="FFA6A6A6"/>
      <rgbColor rgb="FF003366"/>
      <rgbColor rgb="FF00B050"/>
      <rgbColor rgb="FF003300"/>
      <rgbColor rgb="FF333300"/>
      <rgbColor rgb="FFC052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sharedStrings" Target="sharedStrings.xml"/><Relationship Id="rId36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A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2.54296875" defaultRowHeight="15.75" customHeight="true" zeroHeight="false" outlineLevelRow="0" outlineLevelCol="0"/>
  <cols>
    <col collapsed="false" customWidth="true" hidden="false" outlineLevel="0" max="1" min="1" style="1" width="38.45"/>
    <col collapsed="false" customWidth="true" hidden="false" outlineLevel="0" max="2" min="2" style="1" width="47.63"/>
    <col collapsed="false" customWidth="true" hidden="false" outlineLevel="0" max="5" min="5" style="1" width="16"/>
    <col collapsed="false" customWidth="true" hidden="false" outlineLevel="0" max="6" min="6" style="1" width="13.54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/>
      <c r="E1" s="2"/>
      <c r="F1" s="2"/>
    </row>
    <row r="2" customFormat="false" ht="15.75" hidden="false" customHeight="false" outlineLevel="0" collapsed="false">
      <c r="A2" s="2"/>
      <c r="B2" s="2"/>
      <c r="C2" s="3" t="s">
        <v>3</v>
      </c>
      <c r="D2" s="3" t="s">
        <v>4</v>
      </c>
      <c r="E2" s="3" t="s">
        <v>5</v>
      </c>
      <c r="F2" s="3" t="s">
        <v>6</v>
      </c>
    </row>
    <row r="3" customFormat="false" ht="15.75" hidden="false" customHeight="false" outlineLevel="0" collapsed="false">
      <c r="A3" s="4" t="s">
        <v>7</v>
      </c>
      <c r="B3" s="5" t="s">
        <v>8</v>
      </c>
      <c r="C3" s="6" t="n">
        <v>43186</v>
      </c>
      <c r="D3" s="7" t="n">
        <v>0.0416666666666667</v>
      </c>
      <c r="E3" s="5" t="s">
        <v>9</v>
      </c>
      <c r="F3" s="8" t="s">
        <v>10</v>
      </c>
    </row>
    <row r="4" customFormat="false" ht="15.75" hidden="false" customHeight="false" outlineLevel="0" collapsed="false">
      <c r="A4" s="4"/>
      <c r="B4" s="9" t="s">
        <v>11</v>
      </c>
      <c r="C4" s="10" t="n">
        <v>43426</v>
      </c>
      <c r="D4" s="11" t="n">
        <v>0.5</v>
      </c>
      <c r="E4" s="9" t="s">
        <v>12</v>
      </c>
      <c r="F4" s="12" t="s">
        <v>13</v>
      </c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</row>
    <row r="5" customFormat="false" ht="15.75" hidden="false" customHeight="false" outlineLevel="0" collapsed="false">
      <c r="A5" s="4"/>
      <c r="B5" s="5" t="s">
        <v>14</v>
      </c>
      <c r="C5" s="6" t="n">
        <v>43771</v>
      </c>
      <c r="D5" s="7" t="n">
        <v>0.958333333333333</v>
      </c>
      <c r="E5" s="5" t="s">
        <v>15</v>
      </c>
      <c r="F5" s="8" t="s">
        <v>16</v>
      </c>
    </row>
    <row r="6" customFormat="false" ht="15.75" hidden="false" customHeight="false" outlineLevel="0" collapsed="false">
      <c r="A6" s="4"/>
      <c r="B6" s="5" t="s">
        <v>17</v>
      </c>
      <c r="C6" s="14" t="n">
        <v>44157</v>
      </c>
      <c r="D6" s="7" t="n">
        <v>0.0416666666666667</v>
      </c>
      <c r="E6" s="5" t="s">
        <v>15</v>
      </c>
      <c r="F6" s="8" t="s">
        <v>10</v>
      </c>
    </row>
    <row r="7" customFormat="false" ht="15.75" hidden="false" customHeight="false" outlineLevel="0" collapsed="false">
      <c r="A7" s="4"/>
      <c r="B7" s="5" t="s">
        <v>18</v>
      </c>
      <c r="C7" s="14" t="n">
        <v>44156</v>
      </c>
      <c r="D7" s="7" t="n">
        <v>0.25</v>
      </c>
      <c r="E7" s="5" t="s">
        <v>15</v>
      </c>
      <c r="F7" s="8" t="s">
        <v>19</v>
      </c>
    </row>
    <row r="8" customFormat="false" ht="15.75" hidden="false" customHeight="false" outlineLevel="0" collapsed="false">
      <c r="A8" s="4"/>
      <c r="B8" s="5" t="s">
        <v>20</v>
      </c>
      <c r="C8" s="14" t="n">
        <v>44156</v>
      </c>
      <c r="D8" s="7" t="n">
        <v>0.1875</v>
      </c>
      <c r="E8" s="5" t="s">
        <v>15</v>
      </c>
      <c r="F8" s="8" t="s">
        <v>21</v>
      </c>
    </row>
    <row r="9" customFormat="false" ht="15.75" hidden="false" customHeight="false" outlineLevel="0" collapsed="false">
      <c r="A9" s="4"/>
      <c r="B9" s="5" t="s">
        <v>22</v>
      </c>
      <c r="C9" s="14" t="n">
        <v>44157</v>
      </c>
      <c r="D9" s="7" t="n">
        <v>0.0763888888888889</v>
      </c>
      <c r="E9" s="5" t="s">
        <v>15</v>
      </c>
      <c r="F9" s="8" t="s">
        <v>23</v>
      </c>
    </row>
    <row r="10" customFormat="false" ht="15.75" hidden="false" customHeight="false" outlineLevel="0" collapsed="false">
      <c r="A10" s="4"/>
      <c r="B10" s="15" t="s">
        <v>24</v>
      </c>
      <c r="C10" s="16" t="n">
        <v>44157</v>
      </c>
      <c r="D10" s="17" t="n">
        <v>0.0625</v>
      </c>
      <c r="E10" s="15" t="s">
        <v>15</v>
      </c>
      <c r="F10" s="18" t="s">
        <v>25</v>
      </c>
    </row>
    <row r="11" customFormat="false" ht="15.75" hidden="false" customHeight="false" outlineLevel="0" collapsed="false">
      <c r="A11" s="19" t="s">
        <v>26</v>
      </c>
      <c r="B11" s="20" t="s">
        <v>8</v>
      </c>
      <c r="C11" s="21" t="n">
        <v>43186</v>
      </c>
      <c r="D11" s="22" t="n">
        <v>0.0416666666666667</v>
      </c>
      <c r="E11" s="20" t="s">
        <v>9</v>
      </c>
      <c r="F11" s="23" t="s">
        <v>27</v>
      </c>
    </row>
    <row r="12" customFormat="false" ht="15.75" hidden="false" customHeight="false" outlineLevel="0" collapsed="false">
      <c r="A12" s="19"/>
      <c r="B12" s="9" t="s">
        <v>28</v>
      </c>
      <c r="C12" s="10" t="n">
        <v>43426</v>
      </c>
      <c r="D12" s="11" t="n">
        <v>0.5</v>
      </c>
      <c r="E12" s="9" t="s">
        <v>29</v>
      </c>
      <c r="F12" s="12" t="s">
        <v>30</v>
      </c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customFormat="false" ht="15.75" hidden="false" customHeight="false" outlineLevel="0" collapsed="false">
      <c r="A13" s="19"/>
      <c r="B13" s="5" t="s">
        <v>31</v>
      </c>
      <c r="C13" s="14" t="n">
        <v>44156</v>
      </c>
      <c r="D13" s="7" t="n">
        <v>0.208333333333333</v>
      </c>
      <c r="E13" s="5" t="s">
        <v>15</v>
      </c>
      <c r="F13" s="8" t="s">
        <v>32</v>
      </c>
    </row>
    <row r="14" customFormat="false" ht="15.75" hidden="false" customHeight="false" outlineLevel="0" collapsed="false">
      <c r="A14" s="19"/>
      <c r="B14" s="15" t="s">
        <v>22</v>
      </c>
      <c r="C14" s="16" t="n">
        <v>44157</v>
      </c>
      <c r="D14" s="17" t="n">
        <v>0.0694444444444445</v>
      </c>
      <c r="E14" s="15" t="s">
        <v>15</v>
      </c>
      <c r="F14" s="18" t="s">
        <v>33</v>
      </c>
    </row>
    <row r="15" customFormat="false" ht="15.75" hidden="false" customHeight="false" outlineLevel="0" collapsed="false">
      <c r="A15" s="19" t="s">
        <v>34</v>
      </c>
      <c r="B15" s="20" t="s">
        <v>8</v>
      </c>
      <c r="C15" s="21" t="n">
        <v>43438</v>
      </c>
      <c r="D15" s="22" t="n">
        <v>0.0833333333333333</v>
      </c>
      <c r="E15" s="20" t="s">
        <v>9</v>
      </c>
      <c r="F15" s="23" t="s">
        <v>10</v>
      </c>
    </row>
    <row r="16" customFormat="false" ht="15.75" hidden="false" customHeight="false" outlineLevel="0" collapsed="false">
      <c r="A16" s="19"/>
      <c r="B16" s="9" t="s">
        <v>35</v>
      </c>
      <c r="C16" s="10" t="n">
        <v>43445</v>
      </c>
      <c r="D16" s="11" t="n">
        <v>0</v>
      </c>
      <c r="E16" s="9" t="s">
        <v>29</v>
      </c>
      <c r="F16" s="12" t="s">
        <v>30</v>
      </c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</row>
    <row r="17" customFormat="false" ht="15.75" hidden="false" customHeight="false" outlineLevel="0" collapsed="false">
      <c r="A17" s="19"/>
      <c r="B17" s="9" t="s">
        <v>36</v>
      </c>
      <c r="C17" s="24" t="n">
        <v>43573</v>
      </c>
      <c r="D17" s="11" t="n">
        <v>0</v>
      </c>
      <c r="E17" s="9" t="s">
        <v>29</v>
      </c>
      <c r="F17" s="12" t="s">
        <v>30</v>
      </c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</row>
    <row r="18" customFormat="false" ht="15.75" hidden="false" customHeight="false" outlineLevel="0" collapsed="false">
      <c r="A18" s="19"/>
      <c r="B18" s="5" t="s">
        <v>31</v>
      </c>
      <c r="C18" s="14" t="n">
        <v>44156</v>
      </c>
      <c r="D18" s="7" t="n">
        <v>0.229166666666667</v>
      </c>
      <c r="E18" s="5" t="s">
        <v>15</v>
      </c>
      <c r="F18" s="8" t="s">
        <v>37</v>
      </c>
    </row>
    <row r="19" customFormat="false" ht="15.75" hidden="false" customHeight="false" outlineLevel="0" collapsed="false">
      <c r="A19" s="19"/>
      <c r="B19" s="15" t="s">
        <v>22</v>
      </c>
      <c r="C19" s="16" t="n">
        <v>44157</v>
      </c>
      <c r="D19" s="17" t="n">
        <v>0.0798611111111111</v>
      </c>
      <c r="E19" s="15" t="s">
        <v>15</v>
      </c>
      <c r="F19" s="18" t="s">
        <v>38</v>
      </c>
    </row>
    <row r="20" customFormat="false" ht="15.75" hidden="false" customHeight="false" outlineLevel="0" collapsed="false">
      <c r="A20" s="19" t="s">
        <v>39</v>
      </c>
      <c r="B20" s="20" t="s">
        <v>8</v>
      </c>
      <c r="C20" s="21" t="n">
        <v>43408</v>
      </c>
      <c r="D20" s="22" t="n">
        <v>0.0833333333333333</v>
      </c>
      <c r="E20" s="20" t="s">
        <v>9</v>
      </c>
      <c r="F20" s="23" t="s">
        <v>10</v>
      </c>
    </row>
    <row r="21" customFormat="false" ht="15.75" hidden="false" customHeight="false" outlineLevel="0" collapsed="false">
      <c r="A21" s="19"/>
      <c r="B21" s="5" t="s">
        <v>40</v>
      </c>
      <c r="C21" s="6" t="n">
        <v>43537</v>
      </c>
      <c r="D21" s="7" t="n">
        <v>0.326388888888889</v>
      </c>
      <c r="E21" s="5" t="s">
        <v>15</v>
      </c>
      <c r="F21" s="8" t="s">
        <v>41</v>
      </c>
    </row>
    <row r="22" customFormat="false" ht="15.75" hidden="false" customHeight="false" outlineLevel="0" collapsed="false">
      <c r="A22" s="19"/>
      <c r="B22" s="5" t="s">
        <v>42</v>
      </c>
      <c r="C22" s="6" t="n">
        <v>43600</v>
      </c>
      <c r="D22" s="7" t="n">
        <v>0.361111111111111</v>
      </c>
      <c r="E22" s="5" t="s">
        <v>15</v>
      </c>
      <c r="F22" s="8" t="s">
        <v>43</v>
      </c>
    </row>
    <row r="23" customFormat="false" ht="15.75" hidden="false" customHeight="false" outlineLevel="0" collapsed="false">
      <c r="A23" s="19"/>
      <c r="B23" s="9" t="s">
        <v>28</v>
      </c>
      <c r="C23" s="10" t="n">
        <v>43426</v>
      </c>
      <c r="D23" s="11" t="n">
        <v>0</v>
      </c>
      <c r="E23" s="9" t="s">
        <v>29</v>
      </c>
      <c r="F23" s="12" t="s">
        <v>30</v>
      </c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</row>
    <row r="24" customFormat="false" ht="15.75" hidden="false" customHeight="false" outlineLevel="0" collapsed="false">
      <c r="A24" s="19"/>
      <c r="B24" s="5" t="s">
        <v>44</v>
      </c>
      <c r="C24" s="14" t="n">
        <v>43796</v>
      </c>
      <c r="D24" s="7" t="n">
        <v>0.25</v>
      </c>
      <c r="E24" s="5" t="s">
        <v>15</v>
      </c>
      <c r="F24" s="8" t="s">
        <v>19</v>
      </c>
    </row>
    <row r="25" customFormat="false" ht="15.75" hidden="false" customHeight="false" outlineLevel="0" collapsed="false">
      <c r="A25" s="19"/>
      <c r="B25" s="5" t="s">
        <v>17</v>
      </c>
      <c r="C25" s="14" t="n">
        <v>44156</v>
      </c>
      <c r="D25" s="7" t="n">
        <v>0.989583333333333</v>
      </c>
      <c r="E25" s="5" t="s">
        <v>15</v>
      </c>
      <c r="F25" s="8" t="s">
        <v>45</v>
      </c>
    </row>
    <row r="26" customFormat="false" ht="15.75" hidden="false" customHeight="false" outlineLevel="0" collapsed="false">
      <c r="A26" s="19"/>
      <c r="B26" s="15" t="s">
        <v>22</v>
      </c>
      <c r="C26" s="16" t="n">
        <v>44157</v>
      </c>
      <c r="D26" s="17" t="n">
        <v>0.0625</v>
      </c>
      <c r="E26" s="15" t="s">
        <v>15</v>
      </c>
      <c r="F26" s="18" t="s">
        <v>25</v>
      </c>
    </row>
    <row r="27" customFormat="false" ht="15.75" hidden="false" customHeight="false" outlineLevel="0" collapsed="false">
      <c r="A27" s="19" t="s">
        <v>46</v>
      </c>
      <c r="B27" s="20" t="s">
        <v>47</v>
      </c>
      <c r="C27" s="21" t="n">
        <v>43186</v>
      </c>
      <c r="D27" s="22" t="n">
        <v>0.916666666666667</v>
      </c>
      <c r="E27" s="20" t="s">
        <v>9</v>
      </c>
      <c r="F27" s="23" t="s">
        <v>48</v>
      </c>
    </row>
    <row r="28" customFormat="false" ht="15.75" hidden="false" customHeight="false" outlineLevel="0" collapsed="false">
      <c r="A28" s="19"/>
      <c r="B28" s="5" t="s">
        <v>49</v>
      </c>
      <c r="C28" s="14" t="n">
        <v>44523</v>
      </c>
      <c r="D28" s="7" t="n">
        <v>0.208333333333333</v>
      </c>
      <c r="E28" s="5" t="s">
        <v>15</v>
      </c>
      <c r="F28" s="8" t="s">
        <v>32</v>
      </c>
    </row>
    <row r="29" customFormat="false" ht="15.75" hidden="false" customHeight="false" outlineLevel="0" collapsed="false">
      <c r="A29" s="19"/>
      <c r="B29" s="5" t="s">
        <v>50</v>
      </c>
      <c r="C29" s="14" t="n">
        <v>44523</v>
      </c>
      <c r="D29" s="7" t="n">
        <v>0.208333333333333</v>
      </c>
      <c r="E29" s="5" t="s">
        <v>15</v>
      </c>
      <c r="F29" s="8" t="s">
        <v>32</v>
      </c>
    </row>
    <row r="30" customFormat="false" ht="15.75" hidden="false" customHeight="false" outlineLevel="0" collapsed="false">
      <c r="A30" s="19"/>
      <c r="B30" s="5" t="s">
        <v>51</v>
      </c>
      <c r="C30" s="14" t="n">
        <v>44875</v>
      </c>
      <c r="D30" s="7" t="n">
        <v>0.916666666666667</v>
      </c>
      <c r="E30" s="5" t="s">
        <v>15</v>
      </c>
      <c r="F30" s="8" t="s">
        <v>52</v>
      </c>
    </row>
    <row r="31" customFormat="false" ht="15.75" hidden="false" customHeight="false" outlineLevel="0" collapsed="false">
      <c r="A31" s="19"/>
      <c r="B31" s="9" t="s">
        <v>28</v>
      </c>
      <c r="C31" s="10" t="n">
        <v>43426</v>
      </c>
      <c r="D31" s="11" t="n">
        <v>0</v>
      </c>
      <c r="E31" s="9" t="s">
        <v>29</v>
      </c>
      <c r="F31" s="12" t="s">
        <v>30</v>
      </c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</row>
    <row r="32" customFormat="false" ht="15.75" hidden="false" customHeight="false" outlineLevel="0" collapsed="false">
      <c r="A32" s="19"/>
      <c r="B32" s="9" t="s">
        <v>53</v>
      </c>
      <c r="C32" s="10" t="n">
        <v>44540</v>
      </c>
      <c r="D32" s="11" t="n">
        <v>0</v>
      </c>
      <c r="E32" s="9" t="s">
        <v>15</v>
      </c>
      <c r="F32" s="12" t="s">
        <v>30</v>
      </c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</row>
    <row r="33" customFormat="false" ht="15.75" hidden="false" customHeight="false" outlineLevel="0" collapsed="false">
      <c r="A33" s="19"/>
      <c r="B33" s="9" t="s">
        <v>54</v>
      </c>
      <c r="C33" s="24" t="n">
        <v>44574</v>
      </c>
      <c r="D33" s="11" t="n">
        <v>0.0104166666666667</v>
      </c>
      <c r="E33" s="9" t="s">
        <v>15</v>
      </c>
      <c r="F33" s="12" t="s">
        <v>30</v>
      </c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</row>
    <row r="34" customFormat="false" ht="15.75" hidden="false" customHeight="false" outlineLevel="0" collapsed="false">
      <c r="A34" s="19"/>
      <c r="B34" s="5" t="s">
        <v>55</v>
      </c>
      <c r="C34" s="6" t="n">
        <v>44593</v>
      </c>
      <c r="D34" s="7" t="n">
        <v>0.333333333333333</v>
      </c>
      <c r="E34" s="5" t="s">
        <v>15</v>
      </c>
      <c r="F34" s="8" t="s">
        <v>56</v>
      </c>
    </row>
    <row r="35" customFormat="false" ht="15.75" hidden="false" customHeight="false" outlineLevel="0" collapsed="false">
      <c r="A35" s="19"/>
      <c r="B35" s="9" t="s">
        <v>57</v>
      </c>
      <c r="C35" s="10" t="n">
        <v>44540</v>
      </c>
      <c r="D35" s="11" t="n">
        <v>0.0208333333333333</v>
      </c>
      <c r="E35" s="9" t="s">
        <v>15</v>
      </c>
      <c r="F35" s="12" t="s">
        <v>30</v>
      </c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</row>
    <row r="36" customFormat="false" ht="15.75" hidden="false" customHeight="false" outlineLevel="0" collapsed="false">
      <c r="A36" s="19"/>
      <c r="B36" s="9" t="s">
        <v>58</v>
      </c>
      <c r="C36" s="24" t="n">
        <v>44574</v>
      </c>
      <c r="D36" s="11" t="n">
        <v>0.0208333333333333</v>
      </c>
      <c r="E36" s="9" t="s">
        <v>15</v>
      </c>
      <c r="F36" s="12" t="s">
        <v>30</v>
      </c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</row>
    <row r="37" customFormat="false" ht="15.75" hidden="false" customHeight="false" outlineLevel="0" collapsed="false">
      <c r="A37" s="19"/>
      <c r="B37" s="5" t="s">
        <v>59</v>
      </c>
      <c r="C37" s="6" t="n">
        <v>44574</v>
      </c>
      <c r="D37" s="7" t="n">
        <v>0.299305555555556</v>
      </c>
      <c r="E37" s="5" t="s">
        <v>15</v>
      </c>
      <c r="F37" s="8" t="s">
        <v>60</v>
      </c>
    </row>
    <row r="38" customFormat="false" ht="15.75" hidden="false" customHeight="false" outlineLevel="0" collapsed="false">
      <c r="A38" s="19"/>
      <c r="B38" s="5" t="s">
        <v>61</v>
      </c>
      <c r="C38" s="6" t="n">
        <v>44574</v>
      </c>
      <c r="D38" s="7" t="n">
        <v>0.564583333333333</v>
      </c>
      <c r="E38" s="5" t="s">
        <v>15</v>
      </c>
      <c r="F38" s="8" t="s">
        <v>62</v>
      </c>
    </row>
    <row r="39" customFormat="false" ht="15.75" hidden="false" customHeight="false" outlineLevel="0" collapsed="false">
      <c r="A39" s="19"/>
      <c r="B39" s="5" t="s">
        <v>63</v>
      </c>
      <c r="C39" s="6" t="n">
        <v>44574</v>
      </c>
      <c r="D39" s="7" t="n">
        <v>0.96875</v>
      </c>
      <c r="E39" s="5" t="s">
        <v>15</v>
      </c>
      <c r="F39" s="8" t="s">
        <v>64</v>
      </c>
    </row>
    <row r="40" customFormat="false" ht="15.75" hidden="false" customHeight="false" outlineLevel="0" collapsed="false">
      <c r="A40" s="19"/>
      <c r="B40" s="15" t="s">
        <v>65</v>
      </c>
      <c r="C40" s="25" t="n">
        <v>44574</v>
      </c>
      <c r="D40" s="17" t="n">
        <v>0.458333333333333</v>
      </c>
      <c r="E40" s="25" t="s">
        <v>15</v>
      </c>
      <c r="F40" s="15" t="s">
        <v>66</v>
      </c>
    </row>
  </sheetData>
  <mergeCells count="8">
    <mergeCell ref="A1:A2"/>
    <mergeCell ref="B1:B2"/>
    <mergeCell ref="C1:F1"/>
    <mergeCell ref="A3:A10"/>
    <mergeCell ref="A11:A14"/>
    <mergeCell ref="A15:A19"/>
    <mergeCell ref="A20:A26"/>
    <mergeCell ref="A27:A40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4296875" defaultRowHeight="15.75" customHeight="true" zeroHeight="false" outlineLevelRow="0" outlineLevelCol="0"/>
  <cols>
    <col collapsed="false" customWidth="true" hidden="false" outlineLevel="0" max="1" min="1" style="1" width="10.91"/>
    <col collapsed="false" customWidth="true" hidden="false" outlineLevel="0" max="2" min="2" style="1" width="47.63"/>
    <col collapsed="false" customWidth="true" hidden="false" outlineLevel="0" max="3" min="3" style="1" width="13.45"/>
    <col collapsed="false" customWidth="true" hidden="false" outlineLevel="0" max="4" min="4" style="1" width="12.63"/>
    <col collapsed="false" customWidth="true" hidden="false" outlineLevel="0" max="5" min="5" style="1" width="13.09"/>
    <col collapsed="false" customWidth="true" hidden="false" outlineLevel="0" max="6" min="6" style="1" width="18.45"/>
  </cols>
  <sheetData>
    <row r="1" customFormat="false" ht="15.75" hidden="false" customHeight="true" outlineLevel="0" collapsed="false">
      <c r="A1" s="26" t="s">
        <v>0</v>
      </c>
      <c r="B1" s="27" t="s">
        <v>1</v>
      </c>
      <c r="C1" s="27" t="s">
        <v>2</v>
      </c>
      <c r="D1" s="27"/>
      <c r="E1" s="27"/>
      <c r="F1" s="27"/>
      <c r="G1" s="28"/>
    </row>
    <row r="2" customFormat="false" ht="15.75" hidden="false" customHeight="false" outlineLevel="0" collapsed="false">
      <c r="A2" s="26"/>
      <c r="B2" s="27"/>
      <c r="C2" s="29" t="s">
        <v>3</v>
      </c>
      <c r="D2" s="29" t="s">
        <v>4</v>
      </c>
      <c r="E2" s="29" t="s">
        <v>5</v>
      </c>
      <c r="F2" s="29" t="s">
        <v>6</v>
      </c>
      <c r="G2" s="28"/>
    </row>
    <row r="3" customFormat="false" ht="15.75" hidden="false" customHeight="false" outlineLevel="0" collapsed="false">
      <c r="A3" s="30" t="s">
        <v>7</v>
      </c>
      <c r="B3" s="31" t="s">
        <v>8</v>
      </c>
      <c r="C3" s="32" t="n">
        <v>43186</v>
      </c>
      <c r="D3" s="33" t="n">
        <v>0.25</v>
      </c>
      <c r="E3" s="31" t="s">
        <v>15</v>
      </c>
      <c r="F3" s="34" t="s">
        <v>19</v>
      </c>
      <c r="G3" s="35"/>
    </row>
    <row r="4" customFormat="false" ht="15.75" hidden="false" customHeight="false" outlineLevel="0" collapsed="false">
      <c r="A4" s="30"/>
      <c r="B4" s="31" t="s">
        <v>11</v>
      </c>
      <c r="C4" s="36" t="n">
        <v>43426</v>
      </c>
      <c r="D4" s="33" t="n">
        <v>0.25</v>
      </c>
      <c r="E4" s="31" t="s">
        <v>15</v>
      </c>
      <c r="F4" s="34" t="s">
        <v>19</v>
      </c>
      <c r="G4" s="28"/>
    </row>
    <row r="5" customFormat="false" ht="15.75" hidden="false" customHeight="false" outlineLevel="0" collapsed="false">
      <c r="A5" s="30"/>
      <c r="B5" s="31" t="s">
        <v>14</v>
      </c>
      <c r="C5" s="32" t="n">
        <v>43771</v>
      </c>
      <c r="D5" s="33" t="n">
        <v>0.25</v>
      </c>
      <c r="E5" s="31" t="s">
        <v>15</v>
      </c>
      <c r="F5" s="34" t="s">
        <v>19</v>
      </c>
      <c r="G5" s="28"/>
    </row>
    <row r="6" customFormat="false" ht="15.75" hidden="false" customHeight="false" outlineLevel="0" collapsed="false">
      <c r="A6" s="30"/>
      <c r="B6" s="31" t="s">
        <v>17</v>
      </c>
      <c r="C6" s="36" t="n">
        <v>44157</v>
      </c>
      <c r="D6" s="33" t="n">
        <v>0.25</v>
      </c>
      <c r="E6" s="31" t="s">
        <v>15</v>
      </c>
      <c r="F6" s="34" t="s">
        <v>19</v>
      </c>
      <c r="G6" s="28"/>
    </row>
    <row r="7" customFormat="false" ht="15.75" hidden="false" customHeight="false" outlineLevel="0" collapsed="false">
      <c r="A7" s="30"/>
      <c r="B7" s="31" t="s">
        <v>18</v>
      </c>
      <c r="C7" s="36" t="n">
        <v>44156</v>
      </c>
      <c r="D7" s="33" t="n">
        <v>0.25</v>
      </c>
      <c r="E7" s="31" t="s">
        <v>15</v>
      </c>
      <c r="F7" s="34" t="s">
        <v>19</v>
      </c>
      <c r="G7" s="28"/>
    </row>
    <row r="8" customFormat="false" ht="15.75" hidden="false" customHeight="false" outlineLevel="0" collapsed="false">
      <c r="A8" s="30"/>
      <c r="B8" s="31" t="s">
        <v>20</v>
      </c>
      <c r="C8" s="36" t="n">
        <v>44156</v>
      </c>
      <c r="D8" s="33" t="n">
        <v>0.25</v>
      </c>
      <c r="E8" s="31" t="s">
        <v>15</v>
      </c>
      <c r="F8" s="34" t="s">
        <v>19</v>
      </c>
      <c r="G8" s="28"/>
    </row>
    <row r="9" customFormat="false" ht="15.75" hidden="false" customHeight="false" outlineLevel="0" collapsed="false">
      <c r="A9" s="30"/>
      <c r="B9" s="31" t="s">
        <v>22</v>
      </c>
      <c r="C9" s="36" t="n">
        <v>44157</v>
      </c>
      <c r="D9" s="33" t="n">
        <v>0.25</v>
      </c>
      <c r="E9" s="31" t="s">
        <v>15</v>
      </c>
      <c r="F9" s="34" t="s">
        <v>19</v>
      </c>
      <c r="G9" s="28"/>
    </row>
    <row r="10" customFormat="false" ht="15.75" hidden="false" customHeight="false" outlineLevel="0" collapsed="false">
      <c r="A10" s="30"/>
      <c r="B10" s="37" t="s">
        <v>24</v>
      </c>
      <c r="C10" s="38" t="n">
        <v>44157</v>
      </c>
      <c r="D10" s="39" t="n">
        <v>0.25</v>
      </c>
      <c r="E10" s="37" t="s">
        <v>15</v>
      </c>
      <c r="F10" s="40" t="s">
        <v>19</v>
      </c>
      <c r="G10" s="28"/>
    </row>
    <row r="11" customFormat="false" ht="15.75" hidden="false" customHeight="false" outlineLevel="0" collapsed="false">
      <c r="A11" s="30" t="s">
        <v>26</v>
      </c>
      <c r="B11" s="31" t="s">
        <v>8</v>
      </c>
      <c r="C11" s="32" t="n">
        <v>43186</v>
      </c>
      <c r="D11" s="33" t="n">
        <v>0.252083333333333</v>
      </c>
      <c r="E11" s="31" t="s">
        <v>15</v>
      </c>
      <c r="F11" s="34" t="s">
        <v>67</v>
      </c>
      <c r="G11" s="28"/>
    </row>
    <row r="12" customFormat="false" ht="15.75" hidden="false" customHeight="false" outlineLevel="0" collapsed="false">
      <c r="A12" s="30"/>
      <c r="B12" s="31" t="s">
        <v>28</v>
      </c>
      <c r="C12" s="36" t="n">
        <v>43426</v>
      </c>
      <c r="D12" s="33" t="n">
        <v>0.252083333333333</v>
      </c>
      <c r="E12" s="31" t="s">
        <v>15</v>
      </c>
      <c r="F12" s="34" t="s">
        <v>67</v>
      </c>
      <c r="G12" s="28"/>
    </row>
    <row r="13" customFormat="false" ht="15.75" hidden="false" customHeight="false" outlineLevel="0" collapsed="false">
      <c r="A13" s="30"/>
      <c r="B13" s="31" t="s">
        <v>31</v>
      </c>
      <c r="C13" s="36" t="n">
        <v>44156</v>
      </c>
      <c r="D13" s="33" t="n">
        <v>0.252083333333333</v>
      </c>
      <c r="E13" s="31" t="s">
        <v>15</v>
      </c>
      <c r="F13" s="34" t="s">
        <v>67</v>
      </c>
      <c r="G13" s="28"/>
    </row>
    <row r="14" customFormat="false" ht="15.75" hidden="false" customHeight="false" outlineLevel="0" collapsed="false">
      <c r="A14" s="30"/>
      <c r="B14" s="37" t="s">
        <v>22</v>
      </c>
      <c r="C14" s="38" t="n">
        <v>44157</v>
      </c>
      <c r="D14" s="39" t="n">
        <v>0.252083333333333</v>
      </c>
      <c r="E14" s="37" t="s">
        <v>15</v>
      </c>
      <c r="F14" s="40" t="s">
        <v>67</v>
      </c>
      <c r="G14" s="28"/>
    </row>
    <row r="15" customFormat="false" ht="15.75" hidden="false" customHeight="false" outlineLevel="0" collapsed="false">
      <c r="A15" s="30" t="s">
        <v>34</v>
      </c>
      <c r="B15" s="31" t="s">
        <v>8</v>
      </c>
      <c r="C15" s="32" t="n">
        <v>43438</v>
      </c>
      <c r="D15" s="33" t="n">
        <v>0.0833333333333333</v>
      </c>
      <c r="E15" s="31" t="s">
        <v>15</v>
      </c>
      <c r="F15" s="34" t="s">
        <v>68</v>
      </c>
      <c r="G15" s="28"/>
    </row>
    <row r="16" customFormat="false" ht="15.75" hidden="false" customHeight="false" outlineLevel="0" collapsed="false">
      <c r="A16" s="30"/>
      <c r="B16" s="31" t="s">
        <v>35</v>
      </c>
      <c r="C16" s="36" t="n">
        <v>43445</v>
      </c>
      <c r="D16" s="33" t="n">
        <v>0</v>
      </c>
      <c r="E16" s="31" t="s">
        <v>15</v>
      </c>
      <c r="F16" s="34" t="s">
        <v>68</v>
      </c>
      <c r="G16" s="28"/>
    </row>
    <row r="17" customFormat="false" ht="15.75" hidden="false" customHeight="false" outlineLevel="0" collapsed="false">
      <c r="A17" s="30"/>
      <c r="B17" s="31" t="s">
        <v>36</v>
      </c>
      <c r="C17" s="32" t="n">
        <v>43573</v>
      </c>
      <c r="D17" s="33" t="n">
        <v>0</v>
      </c>
      <c r="E17" s="31" t="s">
        <v>29</v>
      </c>
      <c r="F17" s="34" t="s">
        <v>68</v>
      </c>
      <c r="G17" s="28"/>
    </row>
    <row r="18" customFormat="false" ht="15.75" hidden="false" customHeight="false" outlineLevel="0" collapsed="false">
      <c r="A18" s="30"/>
      <c r="B18" s="31" t="s">
        <v>31</v>
      </c>
      <c r="C18" s="36" t="n">
        <v>44156</v>
      </c>
      <c r="D18" s="33" t="n">
        <v>0.229166666666667</v>
      </c>
      <c r="E18" s="31" t="s">
        <v>15</v>
      </c>
      <c r="F18" s="34" t="s">
        <v>68</v>
      </c>
      <c r="G18" s="28"/>
    </row>
    <row r="19" customFormat="false" ht="15.75" hidden="false" customHeight="false" outlineLevel="0" collapsed="false">
      <c r="A19" s="30"/>
      <c r="B19" s="37" t="s">
        <v>22</v>
      </c>
      <c r="C19" s="38" t="n">
        <v>44157</v>
      </c>
      <c r="D19" s="39" t="n">
        <v>0.0798611111111111</v>
      </c>
      <c r="E19" s="37" t="s">
        <v>15</v>
      </c>
      <c r="F19" s="40" t="s">
        <v>68</v>
      </c>
      <c r="G19" s="28"/>
    </row>
    <row r="20" customFormat="false" ht="15.75" hidden="false" customHeight="false" outlineLevel="0" collapsed="false">
      <c r="A20" s="30" t="s">
        <v>39</v>
      </c>
      <c r="B20" s="31" t="s">
        <v>8</v>
      </c>
      <c r="C20" s="32" t="n">
        <v>43408</v>
      </c>
      <c r="D20" s="33" t="n">
        <v>0.0833333333333333</v>
      </c>
      <c r="E20" s="31" t="s">
        <v>9</v>
      </c>
      <c r="F20" s="34" t="s">
        <v>69</v>
      </c>
      <c r="G20" s="28"/>
    </row>
    <row r="21" customFormat="false" ht="15.75" hidden="false" customHeight="false" outlineLevel="0" collapsed="false">
      <c r="A21" s="30"/>
      <c r="B21" s="31" t="s">
        <v>40</v>
      </c>
      <c r="C21" s="32" t="n">
        <v>43537</v>
      </c>
      <c r="D21" s="33" t="n">
        <v>0.326388888888889</v>
      </c>
      <c r="E21" s="31" t="s">
        <v>15</v>
      </c>
      <c r="F21" s="34" t="s">
        <v>69</v>
      </c>
      <c r="G21" s="28"/>
    </row>
    <row r="22" customFormat="false" ht="15.75" hidden="false" customHeight="false" outlineLevel="0" collapsed="false">
      <c r="A22" s="30"/>
      <c r="B22" s="31" t="s">
        <v>42</v>
      </c>
      <c r="C22" s="32" t="n">
        <v>43600</v>
      </c>
      <c r="D22" s="33" t="n">
        <v>0.361111111111111</v>
      </c>
      <c r="E22" s="31" t="s">
        <v>15</v>
      </c>
      <c r="F22" s="34" t="s">
        <v>69</v>
      </c>
      <c r="G22" s="28"/>
    </row>
    <row r="23" customFormat="false" ht="15.75" hidden="false" customHeight="false" outlineLevel="0" collapsed="false">
      <c r="A23" s="30"/>
      <c r="B23" s="31" t="s">
        <v>28</v>
      </c>
      <c r="C23" s="36" t="n">
        <v>43426</v>
      </c>
      <c r="D23" s="33" t="n">
        <v>0</v>
      </c>
      <c r="E23" s="31" t="s">
        <v>15</v>
      </c>
      <c r="F23" s="34" t="s">
        <v>69</v>
      </c>
      <c r="G23" s="28"/>
    </row>
    <row r="24" customFormat="false" ht="15.75" hidden="false" customHeight="false" outlineLevel="0" collapsed="false">
      <c r="A24" s="30"/>
      <c r="B24" s="31" t="s">
        <v>44</v>
      </c>
      <c r="C24" s="36" t="n">
        <v>43796</v>
      </c>
      <c r="D24" s="33" t="n">
        <v>0.25</v>
      </c>
      <c r="E24" s="31" t="s">
        <v>15</v>
      </c>
      <c r="F24" s="34" t="s">
        <v>69</v>
      </c>
      <c r="G24" s="28"/>
    </row>
    <row r="25" customFormat="false" ht="15.75" hidden="false" customHeight="false" outlineLevel="0" collapsed="false">
      <c r="A25" s="30"/>
      <c r="B25" s="31" t="s">
        <v>17</v>
      </c>
      <c r="C25" s="36" t="n">
        <v>44156</v>
      </c>
      <c r="D25" s="33" t="n">
        <v>0.989583333333333</v>
      </c>
      <c r="E25" s="31" t="s">
        <v>15</v>
      </c>
      <c r="F25" s="34" t="s">
        <v>69</v>
      </c>
      <c r="G25" s="28"/>
    </row>
    <row r="26" customFormat="false" ht="15.75" hidden="false" customHeight="false" outlineLevel="0" collapsed="false">
      <c r="A26" s="30"/>
      <c r="B26" s="37" t="s">
        <v>22</v>
      </c>
      <c r="C26" s="38" t="n">
        <v>44157</v>
      </c>
      <c r="D26" s="39" t="n">
        <v>0.0625</v>
      </c>
      <c r="E26" s="37" t="s">
        <v>15</v>
      </c>
      <c r="F26" s="40" t="s">
        <v>69</v>
      </c>
      <c r="G26" s="28"/>
    </row>
    <row r="27" customFormat="false" ht="15.75" hidden="false" customHeight="false" outlineLevel="0" collapsed="false">
      <c r="A27" s="30" t="s">
        <v>46</v>
      </c>
      <c r="B27" s="31" t="s">
        <v>47</v>
      </c>
      <c r="C27" s="32" t="n">
        <v>43186</v>
      </c>
      <c r="D27" s="33" t="n">
        <v>0.916666666666667</v>
      </c>
      <c r="E27" s="31" t="s">
        <v>15</v>
      </c>
      <c r="F27" s="34" t="s">
        <v>70</v>
      </c>
      <c r="G27" s="28"/>
    </row>
    <row r="28" customFormat="false" ht="15.75" hidden="false" customHeight="false" outlineLevel="0" collapsed="false">
      <c r="A28" s="30"/>
      <c r="B28" s="31" t="s">
        <v>49</v>
      </c>
      <c r="C28" s="36" t="n">
        <v>44523</v>
      </c>
      <c r="D28" s="33" t="n">
        <v>0.208333333333333</v>
      </c>
      <c r="E28" s="31" t="s">
        <v>15</v>
      </c>
      <c r="F28" s="34" t="s">
        <v>70</v>
      </c>
      <c r="G28" s="28"/>
    </row>
    <row r="29" customFormat="false" ht="15.75" hidden="false" customHeight="false" outlineLevel="0" collapsed="false">
      <c r="A29" s="30"/>
      <c r="B29" s="31" t="s">
        <v>50</v>
      </c>
      <c r="C29" s="36" t="n">
        <v>44523</v>
      </c>
      <c r="D29" s="33" t="n">
        <v>0.208333333333333</v>
      </c>
      <c r="E29" s="31" t="s">
        <v>15</v>
      </c>
      <c r="F29" s="34" t="s">
        <v>70</v>
      </c>
      <c r="G29" s="28"/>
    </row>
    <row r="30" customFormat="false" ht="15.75" hidden="false" customHeight="false" outlineLevel="0" collapsed="false">
      <c r="A30" s="30"/>
      <c r="B30" s="31" t="s">
        <v>51</v>
      </c>
      <c r="C30" s="36" t="n">
        <v>44875</v>
      </c>
      <c r="D30" s="33" t="n">
        <v>0.916666666666667</v>
      </c>
      <c r="E30" s="31" t="s">
        <v>15</v>
      </c>
      <c r="F30" s="34" t="s">
        <v>70</v>
      </c>
      <c r="G30" s="28"/>
    </row>
    <row r="31" customFormat="false" ht="15.75" hidden="false" customHeight="false" outlineLevel="0" collapsed="false">
      <c r="A31" s="30"/>
      <c r="B31" s="31" t="s">
        <v>28</v>
      </c>
      <c r="C31" s="36" t="n">
        <v>43426</v>
      </c>
      <c r="D31" s="33" t="n">
        <v>0</v>
      </c>
      <c r="E31" s="31" t="s">
        <v>15</v>
      </c>
      <c r="F31" s="34" t="s">
        <v>70</v>
      </c>
      <c r="G31" s="28"/>
    </row>
    <row r="32" customFormat="false" ht="15.75" hidden="false" customHeight="false" outlineLevel="0" collapsed="false">
      <c r="A32" s="30"/>
      <c r="B32" s="31" t="s">
        <v>53</v>
      </c>
      <c r="C32" s="36" t="n">
        <v>44540</v>
      </c>
      <c r="D32" s="33" t="n">
        <v>0</v>
      </c>
      <c r="E32" s="31" t="s">
        <v>15</v>
      </c>
      <c r="F32" s="34" t="s">
        <v>70</v>
      </c>
      <c r="G32" s="28"/>
    </row>
    <row r="33" customFormat="false" ht="15.75" hidden="false" customHeight="false" outlineLevel="0" collapsed="false">
      <c r="A33" s="30"/>
      <c r="B33" s="31" t="s">
        <v>54</v>
      </c>
      <c r="C33" s="32" t="n">
        <v>44574</v>
      </c>
      <c r="D33" s="33" t="n">
        <v>0.0104166666666667</v>
      </c>
      <c r="E33" s="31" t="s">
        <v>15</v>
      </c>
      <c r="F33" s="34" t="s">
        <v>70</v>
      </c>
      <c r="G33" s="28"/>
    </row>
    <row r="34" customFormat="false" ht="15.75" hidden="false" customHeight="false" outlineLevel="0" collapsed="false">
      <c r="A34" s="30"/>
      <c r="B34" s="31" t="s">
        <v>55</v>
      </c>
      <c r="C34" s="32" t="n">
        <v>44593</v>
      </c>
      <c r="D34" s="33" t="n">
        <v>0.333333333333333</v>
      </c>
      <c r="E34" s="31" t="s">
        <v>15</v>
      </c>
      <c r="F34" s="34" t="s">
        <v>70</v>
      </c>
      <c r="G34" s="28"/>
    </row>
    <row r="35" customFormat="false" ht="15.75" hidden="false" customHeight="false" outlineLevel="0" collapsed="false">
      <c r="A35" s="30"/>
      <c r="B35" s="31" t="s">
        <v>57</v>
      </c>
      <c r="C35" s="36" t="n">
        <v>44540</v>
      </c>
      <c r="D35" s="33" t="n">
        <v>0.0208333333333333</v>
      </c>
      <c r="E35" s="31" t="s">
        <v>15</v>
      </c>
      <c r="F35" s="34" t="s">
        <v>70</v>
      </c>
      <c r="G35" s="28"/>
    </row>
    <row r="36" customFormat="false" ht="15.75" hidden="false" customHeight="false" outlineLevel="0" collapsed="false">
      <c r="A36" s="30"/>
      <c r="B36" s="31" t="s">
        <v>58</v>
      </c>
      <c r="C36" s="32" t="n">
        <v>44574</v>
      </c>
      <c r="D36" s="33" t="n">
        <v>0.0208333333333333</v>
      </c>
      <c r="E36" s="31" t="s">
        <v>15</v>
      </c>
      <c r="F36" s="34" t="s">
        <v>70</v>
      </c>
      <c r="G36" s="28"/>
    </row>
    <row r="37" customFormat="false" ht="15.75" hidden="false" customHeight="false" outlineLevel="0" collapsed="false">
      <c r="A37" s="30"/>
      <c r="B37" s="31" t="s">
        <v>59</v>
      </c>
      <c r="C37" s="32" t="n">
        <v>44574</v>
      </c>
      <c r="D37" s="33" t="n">
        <v>0.299305555555556</v>
      </c>
      <c r="E37" s="31" t="s">
        <v>15</v>
      </c>
      <c r="F37" s="34" t="s">
        <v>70</v>
      </c>
      <c r="G37" s="28"/>
    </row>
    <row r="38" customFormat="false" ht="15.75" hidden="false" customHeight="false" outlineLevel="0" collapsed="false">
      <c r="A38" s="30"/>
      <c r="B38" s="31" t="s">
        <v>61</v>
      </c>
      <c r="C38" s="32" t="n">
        <v>44574</v>
      </c>
      <c r="D38" s="33" t="n">
        <v>0.564583333333333</v>
      </c>
      <c r="E38" s="31" t="s">
        <v>15</v>
      </c>
      <c r="F38" s="34" t="s">
        <v>70</v>
      </c>
      <c r="G38" s="28"/>
    </row>
    <row r="39" customFormat="false" ht="15.75" hidden="false" customHeight="false" outlineLevel="0" collapsed="false">
      <c r="A39" s="30"/>
      <c r="B39" s="31" t="s">
        <v>63</v>
      </c>
      <c r="C39" s="32" t="n">
        <v>44574</v>
      </c>
      <c r="D39" s="33" t="n">
        <v>0.96875</v>
      </c>
      <c r="E39" s="31" t="s">
        <v>15</v>
      </c>
      <c r="F39" s="34" t="s">
        <v>70</v>
      </c>
      <c r="G39" s="28"/>
    </row>
    <row r="40" customFormat="false" ht="15.75" hidden="false" customHeight="false" outlineLevel="0" collapsed="false">
      <c r="A40" s="30"/>
      <c r="B40" s="37" t="s">
        <v>65</v>
      </c>
      <c r="C40" s="41" t="n">
        <v>44574</v>
      </c>
      <c r="D40" s="39" t="n">
        <v>0.458333333333333</v>
      </c>
      <c r="E40" s="42" t="s">
        <v>15</v>
      </c>
      <c r="F40" s="37" t="s">
        <v>70</v>
      </c>
      <c r="G40" s="28"/>
    </row>
  </sheetData>
  <mergeCells count="8">
    <mergeCell ref="A1:A2"/>
    <mergeCell ref="B1:B2"/>
    <mergeCell ref="C1:F1"/>
    <mergeCell ref="A3:A10"/>
    <mergeCell ref="A11:A14"/>
    <mergeCell ref="A15:A19"/>
    <mergeCell ref="A20:A26"/>
    <mergeCell ref="A27:A40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40"/>
  <sheetViews>
    <sheetView showFormulas="false" showGridLines="true" showRowColHeaders="true" showZeros="true" rightToLeft="false" tabSelected="false" showOutlineSymbols="true" defaultGridColor="true" view="normal" topLeftCell="A27" colorId="64" zoomScale="100" zoomScaleNormal="100" zoomScalePageLayoutView="100" workbookViewId="0">
      <selection pane="topLeft" activeCell="A1" activeCellId="0" sqref="A1"/>
    </sheetView>
  </sheetViews>
  <sheetFormatPr defaultColWidth="12.54296875" defaultRowHeight="15.75" customHeight="true" zeroHeight="false" outlineLevelRow="0" outlineLevelCol="0"/>
  <cols>
    <col collapsed="false" customWidth="true" hidden="false" outlineLevel="0" max="2" min="2" style="1" width="47.63"/>
  </cols>
  <sheetData>
    <row r="1" customFormat="false" ht="15.75" hidden="false" customHeight="true" outlineLevel="0" collapsed="false">
      <c r="A1" s="26" t="s">
        <v>0</v>
      </c>
      <c r="B1" s="27" t="s">
        <v>1</v>
      </c>
      <c r="C1" s="27" t="s">
        <v>2</v>
      </c>
      <c r="D1" s="27"/>
      <c r="E1" s="27"/>
    </row>
    <row r="2" customFormat="false" ht="15.75" hidden="false" customHeight="false" outlineLevel="0" collapsed="false">
      <c r="A2" s="26"/>
      <c r="B2" s="27"/>
      <c r="C2" s="29" t="s">
        <v>3</v>
      </c>
      <c r="D2" s="29" t="s">
        <v>4</v>
      </c>
      <c r="E2" s="29" t="s">
        <v>5</v>
      </c>
    </row>
    <row r="3" customFormat="false" ht="15.75" hidden="false" customHeight="false" outlineLevel="0" collapsed="false">
      <c r="A3" s="30" t="s">
        <v>7</v>
      </c>
      <c r="B3" s="31" t="s">
        <v>8</v>
      </c>
      <c r="C3" s="32" t="n">
        <v>43186</v>
      </c>
      <c r="D3" s="33" t="n">
        <v>0</v>
      </c>
      <c r="E3" s="31" t="s">
        <v>15</v>
      </c>
      <c r="G3" s="43"/>
    </row>
    <row r="4" customFormat="false" ht="15.75" hidden="false" customHeight="false" outlineLevel="0" collapsed="false">
      <c r="A4" s="30"/>
      <c r="B4" s="31" t="s">
        <v>11</v>
      </c>
      <c r="C4" s="36" t="n">
        <v>43426</v>
      </c>
      <c r="D4" s="33" t="n">
        <f aca="false">D3+"0:10:00"</f>
        <v>0.00694444444444444</v>
      </c>
      <c r="E4" s="31" t="s">
        <v>15</v>
      </c>
      <c r="G4" s="43"/>
    </row>
    <row r="5" customFormat="false" ht="15.75" hidden="false" customHeight="false" outlineLevel="0" collapsed="false">
      <c r="A5" s="30"/>
      <c r="B5" s="31" t="s">
        <v>14</v>
      </c>
      <c r="C5" s="32" t="n">
        <v>43771</v>
      </c>
      <c r="D5" s="33" t="n">
        <f aca="false">D4+"0:10:00"</f>
        <v>0.0138888888888889</v>
      </c>
      <c r="E5" s="31" t="s">
        <v>15</v>
      </c>
      <c r="G5" s="43"/>
    </row>
    <row r="6" customFormat="false" ht="15.75" hidden="false" customHeight="false" outlineLevel="0" collapsed="false">
      <c r="A6" s="30"/>
      <c r="B6" s="31" t="s">
        <v>17</v>
      </c>
      <c r="C6" s="36" t="n">
        <v>44157</v>
      </c>
      <c r="D6" s="33" t="n">
        <f aca="false">D5+"0:10:00"</f>
        <v>0.0208333333333333</v>
      </c>
      <c r="E6" s="31" t="s">
        <v>15</v>
      </c>
      <c r="G6" s="43"/>
    </row>
    <row r="7" customFormat="false" ht="15.75" hidden="false" customHeight="false" outlineLevel="0" collapsed="false">
      <c r="A7" s="30"/>
      <c r="B7" s="31" t="s">
        <v>18</v>
      </c>
      <c r="C7" s="36" t="n">
        <v>44156</v>
      </c>
      <c r="D7" s="33" t="n">
        <f aca="false">D6+"0:10:00"</f>
        <v>0.0277777777777778</v>
      </c>
      <c r="E7" s="31" t="s">
        <v>15</v>
      </c>
      <c r="G7" s="43"/>
    </row>
    <row r="8" customFormat="false" ht="15.75" hidden="false" customHeight="false" outlineLevel="0" collapsed="false">
      <c r="A8" s="30"/>
      <c r="B8" s="31" t="s">
        <v>20</v>
      </c>
      <c r="C8" s="36" t="n">
        <v>44156</v>
      </c>
      <c r="D8" s="33" t="n">
        <f aca="false">D7+"0:10:00"</f>
        <v>0.0347222222222222</v>
      </c>
      <c r="E8" s="31" t="s">
        <v>15</v>
      </c>
      <c r="G8" s="43"/>
    </row>
    <row r="9" customFormat="false" ht="15.75" hidden="false" customHeight="false" outlineLevel="0" collapsed="false">
      <c r="A9" s="30"/>
      <c r="B9" s="31" t="s">
        <v>22</v>
      </c>
      <c r="C9" s="36" t="n">
        <v>44157</v>
      </c>
      <c r="D9" s="33" t="n">
        <f aca="false">D8+"0:30:00"</f>
        <v>0.0555555555555556</v>
      </c>
      <c r="E9" s="31" t="s">
        <v>15</v>
      </c>
      <c r="G9" s="43"/>
    </row>
    <row r="10" customFormat="false" ht="15.75" hidden="false" customHeight="false" outlineLevel="0" collapsed="false">
      <c r="A10" s="30"/>
      <c r="B10" s="37" t="s">
        <v>24</v>
      </c>
      <c r="C10" s="38" t="n">
        <v>44157</v>
      </c>
      <c r="D10" s="33" t="n">
        <f aca="false">D9+"0:10:00"</f>
        <v>0.0625</v>
      </c>
      <c r="E10" s="37" t="s">
        <v>15</v>
      </c>
      <c r="G10" s="43"/>
    </row>
    <row r="11" customFormat="false" ht="15.75" hidden="false" customHeight="false" outlineLevel="0" collapsed="false">
      <c r="A11" s="30" t="s">
        <v>26</v>
      </c>
      <c r="B11" s="31" t="s">
        <v>8</v>
      </c>
      <c r="C11" s="32" t="n">
        <v>43186</v>
      </c>
      <c r="D11" s="33" t="n">
        <f aca="false">D10+"0:10:00"</f>
        <v>0.0694444444444445</v>
      </c>
      <c r="E11" s="31" t="s">
        <v>15</v>
      </c>
      <c r="G11" s="43"/>
    </row>
    <row r="12" customFormat="false" ht="15.75" hidden="false" customHeight="false" outlineLevel="0" collapsed="false">
      <c r="A12" s="30"/>
      <c r="B12" s="31" t="s">
        <v>28</v>
      </c>
      <c r="C12" s="36" t="n">
        <v>43426</v>
      </c>
      <c r="D12" s="33" t="n">
        <f aca="false">D11+"0:10:00"</f>
        <v>0.0763888888888889</v>
      </c>
      <c r="E12" s="31" t="s">
        <v>15</v>
      </c>
      <c r="G12" s="43"/>
    </row>
    <row r="13" customFormat="false" ht="15.75" hidden="false" customHeight="false" outlineLevel="0" collapsed="false">
      <c r="A13" s="30"/>
      <c r="B13" s="31" t="s">
        <v>31</v>
      </c>
      <c r="C13" s="36" t="n">
        <v>44156</v>
      </c>
      <c r="D13" s="33" t="n">
        <f aca="false">D12+"0:10:00"</f>
        <v>0.0833333333333333</v>
      </c>
      <c r="E13" s="31" t="s">
        <v>15</v>
      </c>
      <c r="G13" s="43"/>
    </row>
    <row r="14" customFormat="false" ht="15.75" hidden="false" customHeight="false" outlineLevel="0" collapsed="false">
      <c r="A14" s="30"/>
      <c r="B14" s="37" t="s">
        <v>22</v>
      </c>
      <c r="C14" s="38" t="n">
        <v>44157</v>
      </c>
      <c r="D14" s="33" t="n">
        <f aca="false">D13+"0:15:00"</f>
        <v>0.09375</v>
      </c>
      <c r="E14" s="37" t="s">
        <v>15</v>
      </c>
      <c r="G14" s="43"/>
    </row>
    <row r="15" customFormat="false" ht="15.75" hidden="false" customHeight="false" outlineLevel="0" collapsed="false">
      <c r="A15" s="30" t="s">
        <v>34</v>
      </c>
      <c r="B15" s="31" t="s">
        <v>8</v>
      </c>
      <c r="C15" s="32" t="n">
        <v>43438</v>
      </c>
      <c r="D15" s="33" t="n">
        <f aca="false">D14+"0:10:00"</f>
        <v>0.100694444444444</v>
      </c>
      <c r="E15" s="31" t="s">
        <v>15</v>
      </c>
      <c r="G15" s="43"/>
    </row>
    <row r="16" customFormat="false" ht="15.75" hidden="false" customHeight="false" outlineLevel="0" collapsed="false">
      <c r="A16" s="30"/>
      <c r="B16" s="31" t="s">
        <v>35</v>
      </c>
      <c r="C16" s="36" t="n">
        <v>43445</v>
      </c>
      <c r="D16" s="33" t="n">
        <f aca="false">D15+"0:10:00"</f>
        <v>0.107638888888889</v>
      </c>
      <c r="E16" s="31" t="s">
        <v>15</v>
      </c>
      <c r="G16" s="43"/>
    </row>
    <row r="17" customFormat="false" ht="15.75" hidden="false" customHeight="false" outlineLevel="0" collapsed="false">
      <c r="A17" s="30"/>
      <c r="B17" s="31" t="s">
        <v>36</v>
      </c>
      <c r="C17" s="32" t="n">
        <v>43573</v>
      </c>
      <c r="D17" s="33" t="n">
        <f aca="false">D16+"0:10:00"</f>
        <v>0.114583333333333</v>
      </c>
      <c r="E17" s="31" t="s">
        <v>29</v>
      </c>
      <c r="G17" s="43"/>
    </row>
    <row r="18" customFormat="false" ht="15.75" hidden="false" customHeight="false" outlineLevel="0" collapsed="false">
      <c r="A18" s="30"/>
      <c r="B18" s="31" t="s">
        <v>31</v>
      </c>
      <c r="C18" s="36" t="n">
        <v>44156</v>
      </c>
      <c r="D18" s="33" t="n">
        <f aca="false">D17+"0:10:00"</f>
        <v>0.121527777777778</v>
      </c>
      <c r="E18" s="31" t="s">
        <v>15</v>
      </c>
      <c r="G18" s="43"/>
    </row>
    <row r="19" customFormat="false" ht="15.75" hidden="false" customHeight="false" outlineLevel="0" collapsed="false">
      <c r="A19" s="30"/>
      <c r="B19" s="37" t="s">
        <v>22</v>
      </c>
      <c r="C19" s="38" t="n">
        <v>44157</v>
      </c>
      <c r="D19" s="33" t="n">
        <f aca="false">D18+"0:15:00"</f>
        <v>0.131944444444444</v>
      </c>
      <c r="E19" s="37" t="s">
        <v>15</v>
      </c>
      <c r="G19" s="43"/>
    </row>
    <row r="20" customFormat="false" ht="15.75" hidden="false" customHeight="false" outlineLevel="0" collapsed="false">
      <c r="A20" s="30" t="s">
        <v>39</v>
      </c>
      <c r="B20" s="31" t="s">
        <v>8</v>
      </c>
      <c r="C20" s="32" t="n">
        <v>43408</v>
      </c>
      <c r="D20" s="33" t="n">
        <f aca="false">D19+"0:10:00"</f>
        <v>0.138888888888889</v>
      </c>
      <c r="E20" s="31" t="s">
        <v>9</v>
      </c>
      <c r="G20" s="43"/>
    </row>
    <row r="21" customFormat="false" ht="15.75" hidden="false" customHeight="false" outlineLevel="0" collapsed="false">
      <c r="A21" s="30"/>
      <c r="B21" s="31" t="s">
        <v>40</v>
      </c>
      <c r="C21" s="32" t="n">
        <v>43537</v>
      </c>
      <c r="D21" s="33" t="n">
        <f aca="false">D20+"0:15:00"</f>
        <v>0.149305555555556</v>
      </c>
      <c r="E21" s="31" t="s">
        <v>15</v>
      </c>
      <c r="G21" s="43"/>
    </row>
    <row r="22" customFormat="false" ht="15.75" hidden="false" customHeight="false" outlineLevel="0" collapsed="false">
      <c r="A22" s="30"/>
      <c r="B22" s="31" t="s">
        <v>42</v>
      </c>
      <c r="C22" s="32" t="n">
        <v>43600</v>
      </c>
      <c r="D22" s="33" t="n">
        <f aca="false">D21+"0:15:00"</f>
        <v>0.159722222222222</v>
      </c>
      <c r="E22" s="31" t="s">
        <v>15</v>
      </c>
      <c r="G22" s="43"/>
    </row>
    <row r="23" customFormat="false" ht="15.75" hidden="false" customHeight="false" outlineLevel="0" collapsed="false">
      <c r="A23" s="30"/>
      <c r="B23" s="31" t="s">
        <v>28</v>
      </c>
      <c r="C23" s="36" t="n">
        <v>43426</v>
      </c>
      <c r="D23" s="33" t="n">
        <f aca="false">D22+"0:20:00"</f>
        <v>0.173611111111111</v>
      </c>
      <c r="E23" s="31" t="s">
        <v>15</v>
      </c>
      <c r="G23" s="43"/>
    </row>
    <row r="24" customFormat="false" ht="15.75" hidden="false" customHeight="false" outlineLevel="0" collapsed="false">
      <c r="A24" s="30"/>
      <c r="B24" s="31" t="s">
        <v>44</v>
      </c>
      <c r="C24" s="36" t="n">
        <v>43796</v>
      </c>
      <c r="D24" s="33" t="n">
        <f aca="false">D23+"0:10:00"</f>
        <v>0.180555555555556</v>
      </c>
      <c r="E24" s="31" t="s">
        <v>15</v>
      </c>
      <c r="G24" s="43"/>
    </row>
    <row r="25" customFormat="false" ht="15.75" hidden="false" customHeight="false" outlineLevel="0" collapsed="false">
      <c r="A25" s="30"/>
      <c r="B25" s="31" t="s">
        <v>17</v>
      </c>
      <c r="C25" s="36" t="n">
        <v>44156</v>
      </c>
      <c r="D25" s="33" t="n">
        <f aca="false">D24+"0:30:00"</f>
        <v>0.201388888888889</v>
      </c>
      <c r="E25" s="31" t="s">
        <v>15</v>
      </c>
      <c r="G25" s="43"/>
    </row>
    <row r="26" customFormat="false" ht="15.75" hidden="false" customHeight="false" outlineLevel="0" collapsed="false">
      <c r="A26" s="30"/>
      <c r="B26" s="37" t="s">
        <v>22</v>
      </c>
      <c r="C26" s="38" t="n">
        <v>44157</v>
      </c>
      <c r="D26" s="33" t="n">
        <f aca="false">D25+"0:15:00"</f>
        <v>0.211805555555556</v>
      </c>
      <c r="E26" s="37" t="s">
        <v>15</v>
      </c>
      <c r="G26" s="43"/>
    </row>
    <row r="27" customFormat="false" ht="15.75" hidden="false" customHeight="false" outlineLevel="0" collapsed="false">
      <c r="A27" s="30" t="s">
        <v>46</v>
      </c>
      <c r="B27" s="31" t="s">
        <v>47</v>
      </c>
      <c r="C27" s="32" t="n">
        <v>43186</v>
      </c>
      <c r="D27" s="33" t="n">
        <f aca="false">D26+"0:10:00"</f>
        <v>0.21875</v>
      </c>
      <c r="E27" s="31" t="s">
        <v>15</v>
      </c>
      <c r="G27" s="43"/>
    </row>
    <row r="28" customFormat="false" ht="15.75" hidden="false" customHeight="false" outlineLevel="0" collapsed="false">
      <c r="A28" s="30"/>
      <c r="B28" s="31" t="s">
        <v>49</v>
      </c>
      <c r="C28" s="36" t="n">
        <v>44523</v>
      </c>
      <c r="D28" s="33" t="n">
        <f aca="false">D27+"0:05:00"</f>
        <v>0.222222222222222</v>
      </c>
      <c r="E28" s="31" t="s">
        <v>15</v>
      </c>
      <c r="G28" s="43"/>
    </row>
    <row r="29" customFormat="false" ht="15.75" hidden="false" customHeight="false" outlineLevel="0" collapsed="false">
      <c r="A29" s="30"/>
      <c r="B29" s="31" t="s">
        <v>50</v>
      </c>
      <c r="C29" s="36" t="n">
        <v>44523</v>
      </c>
      <c r="D29" s="33" t="n">
        <f aca="false">D28+"0:05:00"</f>
        <v>0.225694444444444</v>
      </c>
      <c r="E29" s="31" t="s">
        <v>15</v>
      </c>
      <c r="G29" s="43"/>
    </row>
    <row r="30" customFormat="false" ht="15.75" hidden="false" customHeight="false" outlineLevel="0" collapsed="false">
      <c r="A30" s="30"/>
      <c r="B30" s="31" t="s">
        <v>51</v>
      </c>
      <c r="C30" s="36" t="n">
        <v>44875</v>
      </c>
      <c r="D30" s="33" t="n">
        <f aca="false">D29+"0:05:00"</f>
        <v>0.229166666666667</v>
      </c>
      <c r="E30" s="31" t="s">
        <v>15</v>
      </c>
      <c r="G30" s="43"/>
    </row>
    <row r="31" customFormat="false" ht="15.75" hidden="false" customHeight="false" outlineLevel="0" collapsed="false">
      <c r="A31" s="30"/>
      <c r="B31" s="31" t="s">
        <v>28</v>
      </c>
      <c r="C31" s="36" t="n">
        <v>43426</v>
      </c>
      <c r="D31" s="33" t="n">
        <f aca="false">D30+"0:05:00"</f>
        <v>0.232638888888889</v>
      </c>
      <c r="E31" s="31" t="s">
        <v>15</v>
      </c>
      <c r="G31" s="43"/>
    </row>
    <row r="32" customFormat="false" ht="15.75" hidden="false" customHeight="false" outlineLevel="0" collapsed="false">
      <c r="A32" s="30"/>
      <c r="B32" s="31" t="s">
        <v>53</v>
      </c>
      <c r="C32" s="36" t="n">
        <v>44540</v>
      </c>
      <c r="D32" s="33" t="n">
        <f aca="false">D31+"0:05:00"</f>
        <v>0.236111111111111</v>
      </c>
      <c r="E32" s="31" t="s">
        <v>15</v>
      </c>
      <c r="G32" s="43"/>
    </row>
    <row r="33" customFormat="false" ht="15.75" hidden="false" customHeight="false" outlineLevel="0" collapsed="false">
      <c r="A33" s="30"/>
      <c r="B33" s="31" t="s">
        <v>54</v>
      </c>
      <c r="C33" s="32" t="n">
        <v>44574</v>
      </c>
      <c r="D33" s="33" t="n">
        <f aca="false">D32+"0:05:00"</f>
        <v>0.239583333333333</v>
      </c>
      <c r="E33" s="31" t="s">
        <v>15</v>
      </c>
      <c r="G33" s="43"/>
    </row>
    <row r="34" customFormat="false" ht="15.75" hidden="false" customHeight="false" outlineLevel="0" collapsed="false">
      <c r="A34" s="30"/>
      <c r="B34" s="31" t="s">
        <v>55</v>
      </c>
      <c r="C34" s="32" t="n">
        <v>44593</v>
      </c>
      <c r="D34" s="33" t="n">
        <f aca="false">D33+"0:05:00"</f>
        <v>0.243055555555556</v>
      </c>
      <c r="E34" s="31" t="s">
        <v>15</v>
      </c>
      <c r="G34" s="43"/>
    </row>
    <row r="35" customFormat="false" ht="15.75" hidden="false" customHeight="false" outlineLevel="0" collapsed="false">
      <c r="A35" s="30"/>
      <c r="B35" s="31" t="s">
        <v>57</v>
      </c>
      <c r="C35" s="36" t="n">
        <v>44540</v>
      </c>
      <c r="D35" s="33" t="n">
        <f aca="false">D34+"0:05:00"</f>
        <v>0.246527777777778</v>
      </c>
      <c r="E35" s="31" t="s">
        <v>15</v>
      </c>
      <c r="G35" s="43"/>
    </row>
    <row r="36" customFormat="false" ht="15.75" hidden="false" customHeight="false" outlineLevel="0" collapsed="false">
      <c r="A36" s="30"/>
      <c r="B36" s="31" t="s">
        <v>58</v>
      </c>
      <c r="C36" s="32" t="n">
        <v>44574</v>
      </c>
      <c r="D36" s="33" t="n">
        <f aca="false">D35+"0:05:00"</f>
        <v>0.25</v>
      </c>
      <c r="E36" s="31" t="s">
        <v>15</v>
      </c>
      <c r="G36" s="43"/>
    </row>
    <row r="37" customFormat="false" ht="15.75" hidden="false" customHeight="false" outlineLevel="0" collapsed="false">
      <c r="A37" s="30"/>
      <c r="B37" s="31" t="s">
        <v>59</v>
      </c>
      <c r="C37" s="32" t="n">
        <v>44574</v>
      </c>
      <c r="D37" s="33" t="n">
        <f aca="false">D36+"0:05:00"</f>
        <v>0.253472222222222</v>
      </c>
      <c r="E37" s="31" t="s">
        <v>15</v>
      </c>
      <c r="G37" s="43"/>
    </row>
    <row r="38" customFormat="false" ht="15.75" hidden="false" customHeight="false" outlineLevel="0" collapsed="false">
      <c r="A38" s="30"/>
      <c r="B38" s="31" t="s">
        <v>61</v>
      </c>
      <c r="C38" s="32" t="n">
        <v>44574</v>
      </c>
      <c r="D38" s="33" t="n">
        <f aca="false">D37+"0:05:00"</f>
        <v>0.256944444444444</v>
      </c>
      <c r="E38" s="31" t="s">
        <v>15</v>
      </c>
      <c r="G38" s="43"/>
    </row>
    <row r="39" customFormat="false" ht="15.75" hidden="false" customHeight="false" outlineLevel="0" collapsed="false">
      <c r="A39" s="30"/>
      <c r="B39" s="31" t="s">
        <v>63</v>
      </c>
      <c r="C39" s="32" t="n">
        <v>44574</v>
      </c>
      <c r="D39" s="33" t="n">
        <f aca="false">D38+"0:05:00"</f>
        <v>0.260416666666667</v>
      </c>
      <c r="E39" s="31" t="s">
        <v>15</v>
      </c>
      <c r="G39" s="43"/>
    </row>
    <row r="40" customFormat="false" ht="15.75" hidden="false" customHeight="false" outlineLevel="0" collapsed="false">
      <c r="A40" s="30"/>
      <c r="B40" s="37" t="s">
        <v>65</v>
      </c>
      <c r="C40" s="41" t="n">
        <v>44574</v>
      </c>
      <c r="D40" s="33" t="n">
        <f aca="false">D39+"0:05:00"</f>
        <v>0.263888888888889</v>
      </c>
      <c r="E40" s="42" t="s">
        <v>15</v>
      </c>
      <c r="G40" s="43"/>
    </row>
  </sheetData>
  <mergeCells count="8">
    <mergeCell ref="A1:A2"/>
    <mergeCell ref="B1:B2"/>
    <mergeCell ref="C1:E1"/>
    <mergeCell ref="A3:A10"/>
    <mergeCell ref="A11:A14"/>
    <mergeCell ref="A15:A19"/>
    <mergeCell ref="A20:A26"/>
    <mergeCell ref="A27:A40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false" showOutlineSymbols="true" defaultGridColor="true" view="normal" topLeftCell="A6" colorId="64" zoomScale="140" zoomScaleNormal="140" zoomScalePageLayoutView="100" workbookViewId="0">
      <selection pane="topLeft" activeCell="B25" activeCellId="0" sqref="B25"/>
    </sheetView>
  </sheetViews>
  <sheetFormatPr defaultColWidth="8.9140625" defaultRowHeight="12" customHeight="true" zeroHeight="false" outlineLevelRow="0" outlineLevelCol="0"/>
  <cols>
    <col collapsed="false" customWidth="true" hidden="false" outlineLevel="0" max="1" min="1" style="1" width="12.63"/>
    <col collapsed="false" customWidth="true" hidden="false" outlineLevel="0" max="2" min="2" style="1" width="54.91"/>
    <col collapsed="false" customWidth="true" hidden="false" outlineLevel="0" max="3" min="3" style="1" width="10.45"/>
    <col collapsed="false" customWidth="true" hidden="false" outlineLevel="0" max="4" min="4" style="1" width="19.91"/>
    <col collapsed="false" customWidth="true" hidden="false" outlineLevel="0" max="5" min="5" style="1" width="11.09"/>
    <col collapsed="false" customWidth="true" hidden="false" outlineLevel="0" max="7" min="7" style="1" width="10.45"/>
  </cols>
  <sheetData>
    <row r="1" customFormat="false" ht="15" hidden="false" customHeight="false" outlineLevel="0" collapsed="false">
      <c r="A1" s="26" t="s">
        <v>0</v>
      </c>
      <c r="B1" s="27" t="s">
        <v>1</v>
      </c>
      <c r="C1" s="27" t="s">
        <v>2</v>
      </c>
      <c r="D1" s="27"/>
      <c r="E1" s="27"/>
    </row>
    <row r="2" customFormat="false" ht="12.65" hidden="false" customHeight="false" outlineLevel="0" collapsed="false">
      <c r="A2" s="26"/>
      <c r="B2" s="27"/>
      <c r="C2" s="29" t="s">
        <v>3</v>
      </c>
      <c r="D2" s="29" t="s">
        <v>4</v>
      </c>
      <c r="E2" s="29" t="s">
        <v>5</v>
      </c>
    </row>
    <row r="3" customFormat="false" ht="12.65" hidden="false" customHeight="false" outlineLevel="0" collapsed="false">
      <c r="A3" s="30" t="s">
        <v>7</v>
      </c>
      <c r="B3" s="31" t="s">
        <v>8</v>
      </c>
      <c r="C3" s="32" t="n">
        <v>43186</v>
      </c>
      <c r="D3" s="44" t="n">
        <v>0</v>
      </c>
      <c r="E3" s="31" t="s">
        <v>15</v>
      </c>
      <c r="G3" s="45"/>
    </row>
    <row r="4" customFormat="false" ht="12.65" hidden="false" customHeight="false" outlineLevel="0" collapsed="false">
      <c r="A4" s="30"/>
      <c r="B4" s="31" t="s">
        <v>11</v>
      </c>
      <c r="C4" s="36" t="n">
        <v>43426</v>
      </c>
      <c r="D4" s="44" t="n">
        <v>0.152777777777778</v>
      </c>
      <c r="E4" s="31" t="s">
        <v>15</v>
      </c>
      <c r="G4" s="45"/>
      <c r="H4" s="45"/>
    </row>
    <row r="5" customFormat="false" ht="12.65" hidden="false" customHeight="false" outlineLevel="0" collapsed="false">
      <c r="A5" s="30"/>
      <c r="B5" s="46" t="s">
        <v>14</v>
      </c>
      <c r="C5" s="32" t="n">
        <v>43771</v>
      </c>
      <c r="D5" s="44" t="n">
        <v>0.15625</v>
      </c>
      <c r="E5" s="31" t="s">
        <v>15</v>
      </c>
      <c r="G5" s="45"/>
      <c r="H5" s="45"/>
    </row>
    <row r="6" customFormat="false" ht="12.65" hidden="false" customHeight="false" outlineLevel="0" collapsed="false">
      <c r="A6" s="30"/>
      <c r="B6" s="31" t="s">
        <v>17</v>
      </c>
      <c r="C6" s="36" t="n">
        <v>44157</v>
      </c>
      <c r="D6" s="44" t="n">
        <v>0.159722222222222</v>
      </c>
      <c r="E6" s="31" t="s">
        <v>15</v>
      </c>
      <c r="G6" s="45"/>
      <c r="H6" s="45"/>
    </row>
    <row r="7" customFormat="false" ht="12.65" hidden="false" customHeight="false" outlineLevel="0" collapsed="false">
      <c r="A7" s="30"/>
      <c r="B7" s="31" t="s">
        <v>18</v>
      </c>
      <c r="C7" s="36" t="n">
        <v>44156</v>
      </c>
      <c r="D7" s="44" t="n">
        <v>0.173611111111111</v>
      </c>
      <c r="E7" s="31" t="s">
        <v>15</v>
      </c>
      <c r="G7" s="45"/>
    </row>
    <row r="8" customFormat="false" ht="12.65" hidden="false" customHeight="false" outlineLevel="0" collapsed="false">
      <c r="A8" s="30"/>
      <c r="B8" s="31" t="s">
        <v>20</v>
      </c>
      <c r="C8" s="36" t="n">
        <v>44156</v>
      </c>
      <c r="D8" s="44" t="n">
        <v>0.180555555555556</v>
      </c>
      <c r="E8" s="31" t="s">
        <v>15</v>
      </c>
      <c r="G8" s="45"/>
      <c r="H8" s="45"/>
    </row>
    <row r="9" customFormat="false" ht="12.65" hidden="false" customHeight="false" outlineLevel="0" collapsed="false">
      <c r="A9" s="30"/>
      <c r="B9" s="31" t="s">
        <v>22</v>
      </c>
      <c r="C9" s="36" t="n">
        <v>44157</v>
      </c>
      <c r="D9" s="44" t="n">
        <v>0.222222222222222</v>
      </c>
      <c r="E9" s="31" t="s">
        <v>15</v>
      </c>
      <c r="G9" s="45"/>
      <c r="H9" s="45"/>
    </row>
    <row r="10" customFormat="false" ht="12.65" hidden="false" customHeight="false" outlineLevel="0" collapsed="false">
      <c r="A10" s="30"/>
      <c r="B10" s="37" t="s">
        <v>24</v>
      </c>
      <c r="C10" s="38" t="n">
        <v>44157</v>
      </c>
      <c r="D10" s="44" t="n">
        <v>0.229166666666667</v>
      </c>
      <c r="E10" s="37" t="s">
        <v>15</v>
      </c>
      <c r="G10" s="45"/>
      <c r="H10" s="45"/>
    </row>
    <row r="11" customFormat="false" ht="12.65" hidden="false" customHeight="false" outlineLevel="0" collapsed="false">
      <c r="A11" s="30" t="s">
        <v>26</v>
      </c>
      <c r="B11" s="31" t="s">
        <v>8</v>
      </c>
      <c r="C11" s="32" t="n">
        <v>43186</v>
      </c>
      <c r="D11" s="44" t="n">
        <v>0.0208333333333333</v>
      </c>
      <c r="E11" s="31" t="s">
        <v>15</v>
      </c>
      <c r="G11" s="45"/>
    </row>
    <row r="12" customFormat="false" ht="12.65" hidden="false" customHeight="false" outlineLevel="0" collapsed="false">
      <c r="A12" s="30"/>
      <c r="B12" s="31" t="s">
        <v>28</v>
      </c>
      <c r="C12" s="36" t="n">
        <v>43426</v>
      </c>
      <c r="D12" s="44" t="n">
        <v>0.236111111111111</v>
      </c>
      <c r="E12" s="31" t="s">
        <v>15</v>
      </c>
      <c r="G12" s="45"/>
      <c r="H12" s="45"/>
    </row>
    <row r="13" customFormat="false" ht="12.65" hidden="false" customHeight="false" outlineLevel="0" collapsed="false">
      <c r="A13" s="30"/>
      <c r="B13" s="31" t="s">
        <v>31</v>
      </c>
      <c r="C13" s="36" t="n">
        <v>44156</v>
      </c>
      <c r="D13" s="44" t="n">
        <v>0.243055555555556</v>
      </c>
      <c r="E13" s="31" t="s">
        <v>15</v>
      </c>
      <c r="G13" s="45"/>
      <c r="H13" s="45"/>
    </row>
    <row r="14" customFormat="false" ht="12.65" hidden="false" customHeight="false" outlineLevel="0" collapsed="false">
      <c r="A14" s="30"/>
      <c r="B14" s="37" t="s">
        <v>22</v>
      </c>
      <c r="C14" s="38" t="n">
        <v>44157</v>
      </c>
      <c r="D14" s="44" t="n">
        <v>0.25</v>
      </c>
      <c r="E14" s="37" t="s">
        <v>15</v>
      </c>
      <c r="G14" s="45"/>
      <c r="H14" s="45"/>
    </row>
    <row r="15" customFormat="false" ht="12.65" hidden="false" customHeight="false" outlineLevel="0" collapsed="false">
      <c r="A15" s="30" t="s">
        <v>34</v>
      </c>
      <c r="B15" s="31" t="s">
        <v>8</v>
      </c>
      <c r="C15" s="32" t="n">
        <v>43438</v>
      </c>
      <c r="D15" s="44" t="n">
        <v>0.03125</v>
      </c>
      <c r="E15" s="31" t="s">
        <v>15</v>
      </c>
      <c r="G15" s="45"/>
    </row>
    <row r="16" customFormat="false" ht="12.65" hidden="false" customHeight="false" outlineLevel="0" collapsed="false">
      <c r="A16" s="30"/>
      <c r="B16" s="31" t="s">
        <v>35</v>
      </c>
      <c r="C16" s="36" t="n">
        <v>43445</v>
      </c>
      <c r="D16" s="44" t="n">
        <v>0.256944444444445</v>
      </c>
      <c r="E16" s="31" t="s">
        <v>15</v>
      </c>
      <c r="G16" s="45"/>
      <c r="H16" s="45"/>
    </row>
    <row r="17" customFormat="false" ht="12.65" hidden="false" customHeight="false" outlineLevel="0" collapsed="false">
      <c r="A17" s="30"/>
      <c r="B17" s="31" t="s">
        <v>36</v>
      </c>
      <c r="C17" s="32" t="n">
        <v>43573</v>
      </c>
      <c r="D17" s="44" t="n">
        <v>0.260416666666667</v>
      </c>
      <c r="E17" s="31" t="s">
        <v>29</v>
      </c>
      <c r="G17" s="45"/>
      <c r="H17" s="45"/>
    </row>
    <row r="18" customFormat="false" ht="12.65" hidden="false" customHeight="false" outlineLevel="0" collapsed="false">
      <c r="A18" s="30"/>
      <c r="B18" s="31" t="s">
        <v>31</v>
      </c>
      <c r="C18" s="36" t="n">
        <v>44156</v>
      </c>
      <c r="D18" s="44" t="n">
        <v>0.267361111111111</v>
      </c>
      <c r="E18" s="31" t="s">
        <v>15</v>
      </c>
      <c r="G18" s="45"/>
      <c r="H18" s="45"/>
    </row>
    <row r="19" customFormat="false" ht="12.65" hidden="false" customHeight="false" outlineLevel="0" collapsed="false">
      <c r="A19" s="30"/>
      <c r="B19" s="37" t="s">
        <v>22</v>
      </c>
      <c r="C19" s="38" t="n">
        <v>44157</v>
      </c>
      <c r="D19" s="44" t="n">
        <v>0.277777777777778</v>
      </c>
      <c r="E19" s="37" t="s">
        <v>15</v>
      </c>
      <c r="G19" s="45"/>
    </row>
    <row r="20" customFormat="false" ht="12.65" hidden="false" customHeight="false" outlineLevel="0" collapsed="false">
      <c r="A20" s="30" t="s">
        <v>39</v>
      </c>
      <c r="B20" s="31" t="s">
        <v>8</v>
      </c>
      <c r="C20" s="32" t="n">
        <v>43408</v>
      </c>
      <c r="D20" s="44" t="n">
        <v>0.0416666666666667</v>
      </c>
      <c r="E20" s="31" t="s">
        <v>9</v>
      </c>
      <c r="G20" s="45"/>
    </row>
    <row r="21" customFormat="false" ht="12.65" hidden="false" customHeight="false" outlineLevel="0" collapsed="false">
      <c r="A21" s="30"/>
      <c r="B21" s="31" t="s">
        <v>40</v>
      </c>
      <c r="C21" s="32" t="n">
        <v>43537</v>
      </c>
      <c r="D21" s="44" t="n">
        <v>0.284722222222222</v>
      </c>
      <c r="E21" s="31" t="s">
        <v>15</v>
      </c>
      <c r="G21" s="45"/>
      <c r="H21" s="45"/>
    </row>
    <row r="22" customFormat="false" ht="12.65" hidden="false" customHeight="false" outlineLevel="0" collapsed="false">
      <c r="A22" s="30"/>
      <c r="B22" s="31" t="s">
        <v>42</v>
      </c>
      <c r="C22" s="32" t="n">
        <v>43600</v>
      </c>
      <c r="D22" s="44" t="n">
        <v>0.291666666666667</v>
      </c>
      <c r="E22" s="31" t="s">
        <v>15</v>
      </c>
      <c r="G22" s="45"/>
      <c r="H22" s="45"/>
    </row>
    <row r="23" customFormat="false" ht="12.65" hidden="false" customHeight="false" outlineLevel="0" collapsed="false">
      <c r="A23" s="30"/>
      <c r="B23" s="31" t="s">
        <v>28</v>
      </c>
      <c r="C23" s="36" t="n">
        <v>43426</v>
      </c>
      <c r="D23" s="44" t="n">
        <v>0.305555555555556</v>
      </c>
      <c r="E23" s="31" t="s">
        <v>15</v>
      </c>
      <c r="G23" s="45"/>
      <c r="H23" s="45"/>
    </row>
    <row r="24" customFormat="false" ht="12.65" hidden="false" customHeight="false" outlineLevel="0" collapsed="false">
      <c r="A24" s="30"/>
      <c r="B24" s="31" t="s">
        <v>44</v>
      </c>
      <c r="C24" s="36" t="n">
        <v>43796</v>
      </c>
      <c r="D24" s="44" t="n">
        <v>0.309027777777778</v>
      </c>
      <c r="E24" s="31" t="s">
        <v>15</v>
      </c>
      <c r="G24" s="45"/>
      <c r="H24" s="45"/>
    </row>
    <row r="25" customFormat="false" ht="12.65" hidden="false" customHeight="false" outlineLevel="0" collapsed="false">
      <c r="A25" s="30"/>
      <c r="B25" s="46" t="s">
        <v>17</v>
      </c>
      <c r="C25" s="36" t="n">
        <v>44156</v>
      </c>
      <c r="D25" s="44" t="n">
        <v>0.333333333333333</v>
      </c>
      <c r="E25" s="31" t="s">
        <v>15</v>
      </c>
      <c r="G25" s="45"/>
      <c r="H25" s="45"/>
    </row>
    <row r="26" customFormat="false" ht="12.65" hidden="false" customHeight="false" outlineLevel="0" collapsed="false">
      <c r="A26" s="30"/>
      <c r="B26" s="37" t="s">
        <v>22</v>
      </c>
      <c r="C26" s="38" t="n">
        <v>44157</v>
      </c>
      <c r="D26" s="44" t="n">
        <v>0.340277777777778</v>
      </c>
      <c r="E26" s="37" t="s">
        <v>15</v>
      </c>
      <c r="G26" s="45"/>
      <c r="H26" s="45"/>
    </row>
    <row r="27" customFormat="false" ht="12.65" hidden="false" customHeight="false" outlineLevel="0" collapsed="false">
      <c r="A27" s="30" t="s">
        <v>46</v>
      </c>
      <c r="B27" s="31" t="s">
        <v>47</v>
      </c>
      <c r="C27" s="32" t="n">
        <v>43186</v>
      </c>
      <c r="D27" s="44" t="n">
        <v>0.0625</v>
      </c>
      <c r="E27" s="31" t="s">
        <v>15</v>
      </c>
      <c r="G27" s="45"/>
    </row>
    <row r="28" customFormat="false" ht="12.65" hidden="false" customHeight="false" outlineLevel="0" collapsed="false">
      <c r="A28" s="30"/>
      <c r="B28" s="31" t="s">
        <v>49</v>
      </c>
      <c r="C28" s="36" t="n">
        <v>44523</v>
      </c>
      <c r="D28" s="44" t="n">
        <v>0.347222222222222</v>
      </c>
      <c r="E28" s="31" t="s">
        <v>15</v>
      </c>
      <c r="G28" s="45"/>
    </row>
    <row r="29" customFormat="false" ht="12.65" hidden="false" customHeight="false" outlineLevel="0" collapsed="false">
      <c r="A29" s="30"/>
      <c r="B29" s="31" t="s">
        <v>50</v>
      </c>
      <c r="C29" s="36" t="n">
        <v>44523</v>
      </c>
      <c r="D29" s="44" t="n">
        <v>0.350694444444445</v>
      </c>
      <c r="E29" s="31" t="s">
        <v>15</v>
      </c>
      <c r="G29" s="45"/>
    </row>
    <row r="30" customFormat="false" ht="12.65" hidden="false" customHeight="false" outlineLevel="0" collapsed="false">
      <c r="A30" s="30"/>
      <c r="B30" s="31" t="s">
        <v>51</v>
      </c>
      <c r="C30" s="36" t="n">
        <v>44875</v>
      </c>
      <c r="D30" s="44" t="n">
        <v>0.354166666666667</v>
      </c>
      <c r="E30" s="31" t="s">
        <v>15</v>
      </c>
      <c r="G30" s="45"/>
    </row>
    <row r="31" customFormat="false" ht="12.65" hidden="false" customHeight="false" outlineLevel="0" collapsed="false">
      <c r="A31" s="30"/>
      <c r="B31" s="31" t="s">
        <v>28</v>
      </c>
      <c r="C31" s="36" t="n">
        <v>43426</v>
      </c>
      <c r="D31" s="44" t="n">
        <v>0.357638888888889</v>
      </c>
      <c r="E31" s="31" t="s">
        <v>15</v>
      </c>
      <c r="G31" s="45"/>
    </row>
    <row r="32" customFormat="false" ht="12.65" hidden="false" customHeight="false" outlineLevel="0" collapsed="false">
      <c r="A32" s="30"/>
      <c r="B32" s="31" t="s">
        <v>53</v>
      </c>
      <c r="C32" s="36" t="n">
        <v>44540</v>
      </c>
      <c r="D32" s="44" t="n">
        <v>0.361111111111111</v>
      </c>
      <c r="E32" s="31" t="s">
        <v>15</v>
      </c>
      <c r="G32" s="45"/>
    </row>
    <row r="33" customFormat="false" ht="12.65" hidden="false" customHeight="false" outlineLevel="0" collapsed="false">
      <c r="A33" s="30"/>
      <c r="B33" s="31" t="s">
        <v>54</v>
      </c>
      <c r="C33" s="32" t="n">
        <v>44574</v>
      </c>
      <c r="D33" s="44" t="n">
        <v>0.364583333333333</v>
      </c>
      <c r="E33" s="31" t="s">
        <v>15</v>
      </c>
      <c r="G33" s="45"/>
    </row>
    <row r="34" customFormat="false" ht="12.65" hidden="false" customHeight="false" outlineLevel="0" collapsed="false">
      <c r="A34" s="30"/>
      <c r="B34" s="31" t="s">
        <v>55</v>
      </c>
      <c r="C34" s="32" t="n">
        <v>44593</v>
      </c>
      <c r="D34" s="44" t="n">
        <v>0.368055555555556</v>
      </c>
      <c r="E34" s="31" t="s">
        <v>15</v>
      </c>
      <c r="G34" s="45"/>
    </row>
    <row r="35" customFormat="false" ht="12.65" hidden="false" customHeight="false" outlineLevel="0" collapsed="false">
      <c r="A35" s="30"/>
      <c r="B35" s="31" t="s">
        <v>57</v>
      </c>
      <c r="C35" s="36" t="n">
        <v>44540</v>
      </c>
      <c r="D35" s="44" t="n">
        <v>0.371527777777778</v>
      </c>
      <c r="E35" s="31" t="s">
        <v>15</v>
      </c>
      <c r="G35" s="45"/>
    </row>
    <row r="36" customFormat="false" ht="12.65" hidden="false" customHeight="false" outlineLevel="0" collapsed="false">
      <c r="A36" s="30"/>
      <c r="B36" s="31" t="s">
        <v>58</v>
      </c>
      <c r="C36" s="32" t="n">
        <v>44574</v>
      </c>
      <c r="D36" s="44" t="n">
        <v>0.375</v>
      </c>
      <c r="E36" s="31" t="s">
        <v>15</v>
      </c>
      <c r="G36" s="45"/>
    </row>
    <row r="37" customFormat="false" ht="12.65" hidden="false" customHeight="false" outlineLevel="0" collapsed="false">
      <c r="A37" s="30"/>
      <c r="B37" s="31" t="s">
        <v>59</v>
      </c>
      <c r="C37" s="32" t="n">
        <v>44574</v>
      </c>
      <c r="D37" s="44" t="n">
        <v>0.378472222222222</v>
      </c>
      <c r="E37" s="31" t="s">
        <v>15</v>
      </c>
      <c r="G37" s="45"/>
    </row>
    <row r="38" customFormat="false" ht="12.65" hidden="false" customHeight="false" outlineLevel="0" collapsed="false">
      <c r="A38" s="30"/>
      <c r="B38" s="31" t="s">
        <v>61</v>
      </c>
      <c r="C38" s="32" t="n">
        <v>44574</v>
      </c>
      <c r="D38" s="44" t="n">
        <v>0.381944444444444</v>
      </c>
      <c r="E38" s="31" t="s">
        <v>15</v>
      </c>
      <c r="G38" s="45"/>
    </row>
    <row r="39" customFormat="false" ht="12.65" hidden="false" customHeight="false" outlineLevel="0" collapsed="false">
      <c r="A39" s="30"/>
      <c r="B39" s="31" t="s">
        <v>63</v>
      </c>
      <c r="C39" s="32" t="n">
        <v>44574</v>
      </c>
      <c r="D39" s="44" t="n">
        <v>0.385416666666667</v>
      </c>
      <c r="E39" s="31" t="s">
        <v>15</v>
      </c>
      <c r="G39" s="45"/>
    </row>
    <row r="40" customFormat="false" ht="12.65" hidden="false" customHeight="false" outlineLevel="0" collapsed="false">
      <c r="A40" s="30"/>
      <c r="B40" s="37" t="s">
        <v>65</v>
      </c>
      <c r="C40" s="41" t="n">
        <v>44574</v>
      </c>
      <c r="D40" s="44" t="n">
        <v>0.388888888888889</v>
      </c>
      <c r="E40" s="42" t="s">
        <v>15</v>
      </c>
      <c r="G40" s="45"/>
    </row>
  </sheetData>
  <mergeCells count="8">
    <mergeCell ref="A1:A2"/>
    <mergeCell ref="B1:B2"/>
    <mergeCell ref="C1:E1"/>
    <mergeCell ref="A3:A10"/>
    <mergeCell ref="A11:A14"/>
    <mergeCell ref="A15:A19"/>
    <mergeCell ref="A20:A26"/>
    <mergeCell ref="A27:A40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45"/>
  <sheetViews>
    <sheetView showFormulas="false" showGridLines="true" showRowColHeaders="true" showZeros="true" rightToLeft="false" tabSelected="false" showOutlineSymbols="true" defaultGridColor="true" view="normal" topLeftCell="C29" colorId="64" zoomScale="120" zoomScaleNormal="120" zoomScalePageLayoutView="100" workbookViewId="0">
      <selection pane="topLeft" activeCell="M42" activeCellId="0" sqref="M42"/>
    </sheetView>
  </sheetViews>
  <sheetFormatPr defaultColWidth="10.54296875" defaultRowHeight="12" customHeight="true" zeroHeight="false" outlineLevelRow="0" outlineLevelCol="0"/>
  <cols>
    <col collapsed="false" customWidth="true" hidden="false" outlineLevel="0" max="8" min="8" style="1" width="17"/>
    <col collapsed="false" customWidth="true" hidden="false" outlineLevel="0" max="16" min="16" style="1" width="12.45"/>
  </cols>
  <sheetData>
    <row r="1" customFormat="false" ht="12.65" hidden="false" customHeight="false" outlineLevel="0" collapsed="false">
      <c r="A1" s="1" t="s">
        <v>71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</row>
    <row r="2" s="47" customFormat="true" ht="12.65" hidden="false" customHeight="false" outlineLevel="0" collapsed="false">
      <c r="A2" s="47" t="n">
        <v>44000</v>
      </c>
      <c r="B2" s="47" t="n">
        <v>15000</v>
      </c>
      <c r="C2" s="47" t="n">
        <v>171</v>
      </c>
      <c r="D2" s="47" t="n">
        <f aca="false">A2+B2+C2</f>
        <v>59171</v>
      </c>
      <c r="E2" s="47" t="n">
        <v>92671</v>
      </c>
      <c r="F2" s="47" t="n">
        <f aca="false">E2-D2</f>
        <v>33500</v>
      </c>
      <c r="H2" s="47" t="n">
        <v>0</v>
      </c>
      <c r="I2" s="48" t="n">
        <f aca="false">F2+H2</f>
        <v>33500</v>
      </c>
      <c r="J2" s="47" t="n">
        <v>0</v>
      </c>
      <c r="K2" s="47" t="n">
        <f aca="false">I2-J2</f>
        <v>33500</v>
      </c>
      <c r="L2" s="49" t="n">
        <v>0.13</v>
      </c>
      <c r="M2" s="47" t="n">
        <f aca="false">L2*K2+K2</f>
        <v>37855</v>
      </c>
    </row>
    <row r="3" customFormat="false" ht="12.65" hidden="false" customHeight="false" outlineLevel="0" collapsed="false">
      <c r="D3" s="50"/>
      <c r="E3" s="47"/>
      <c r="M3" s="50" t="n">
        <f aca="false">M2-K2</f>
        <v>4355</v>
      </c>
      <c r="N3" s="50"/>
    </row>
    <row r="4" customFormat="false" ht="12.65" hidden="false" customHeight="false" outlineLevel="0" collapsed="false">
      <c r="A4" s="1" t="n">
        <v>2000</v>
      </c>
      <c r="B4" s="1" t="s">
        <v>83</v>
      </c>
      <c r="E4" s="1" t="n">
        <v>92839.77</v>
      </c>
      <c r="J4" s="1" t="s">
        <v>84</v>
      </c>
    </row>
    <row r="5" customFormat="false" ht="12.65" hidden="false" customHeight="false" outlineLevel="0" collapsed="false">
      <c r="A5" s="1" t="s">
        <v>85</v>
      </c>
      <c r="E5" s="50" t="n">
        <f aca="false">E4-E2</f>
        <v>168.770000000004</v>
      </c>
      <c r="J5" s="1" t="s">
        <v>86</v>
      </c>
      <c r="K5" s="1" t="s">
        <v>87</v>
      </c>
      <c r="L5" s="1" t="s">
        <v>88</v>
      </c>
      <c r="M5" s="1" t="s">
        <v>89</v>
      </c>
      <c r="P5" s="1" t="s">
        <v>90</v>
      </c>
    </row>
    <row r="6" customFormat="false" ht="12.65" hidden="false" customHeight="false" outlineLevel="0" collapsed="false">
      <c r="H6" s="50"/>
      <c r="I6" s="51" t="n">
        <v>1</v>
      </c>
      <c r="J6" s="1" t="s">
        <v>91</v>
      </c>
      <c r="K6" s="50" t="n">
        <v>3500</v>
      </c>
      <c r="L6" s="50" t="n">
        <f aca="false">K6+P6</f>
        <v>3500</v>
      </c>
      <c r="M6" s="50" t="n">
        <f aca="false">M$2-L6</f>
        <v>34355</v>
      </c>
      <c r="O6" s="1" t="s">
        <v>92</v>
      </c>
      <c r="P6" s="50" t="n">
        <v>0</v>
      </c>
      <c r="Q6" s="50" t="n">
        <v>0</v>
      </c>
    </row>
    <row r="7" customFormat="false" ht="12.65" hidden="false" customHeight="false" outlineLevel="0" collapsed="false">
      <c r="I7" s="1" t="n">
        <v>2</v>
      </c>
      <c r="J7" s="1" t="s">
        <v>93</v>
      </c>
      <c r="K7" s="50" t="n">
        <v>3500</v>
      </c>
      <c r="L7" s="50" t="n">
        <f aca="false">L6+K7+P7</f>
        <v>7000</v>
      </c>
      <c r="M7" s="50" t="n">
        <f aca="false">M$2-L7</f>
        <v>30855</v>
      </c>
      <c r="O7" s="1" t="s">
        <v>94</v>
      </c>
      <c r="P7" s="47" t="n">
        <v>0</v>
      </c>
      <c r="Q7" s="47" t="n">
        <v>0</v>
      </c>
    </row>
    <row r="8" customFormat="false" ht="12.65" hidden="false" customHeight="false" outlineLevel="0" collapsed="false">
      <c r="I8" s="1" t="n">
        <v>3</v>
      </c>
      <c r="J8" s="1" t="s">
        <v>95</v>
      </c>
      <c r="K8" s="50" t="n">
        <v>3500</v>
      </c>
      <c r="L8" s="50" t="n">
        <f aca="false">L7+K8</f>
        <v>10500</v>
      </c>
      <c r="M8" s="50" t="n">
        <f aca="false">M$2-L8</f>
        <v>27355</v>
      </c>
    </row>
    <row r="9" customFormat="false" ht="12.65" hidden="false" customHeight="false" outlineLevel="0" collapsed="false">
      <c r="I9" s="1" t="n">
        <v>4</v>
      </c>
      <c r="J9" s="1" t="s">
        <v>96</v>
      </c>
      <c r="K9" s="50" t="n">
        <v>3500</v>
      </c>
      <c r="L9" s="50" t="n">
        <f aca="false">L8+K9+P9</f>
        <v>19000</v>
      </c>
      <c r="M9" s="50" t="n">
        <f aca="false">M$2-L9</f>
        <v>18855</v>
      </c>
      <c r="O9" s="1" t="s">
        <v>97</v>
      </c>
      <c r="P9" s="47" t="n">
        <v>5000</v>
      </c>
    </row>
    <row r="10" customFormat="false" ht="12.65" hidden="false" customHeight="false" outlineLevel="0" collapsed="false">
      <c r="I10" s="1" t="n">
        <v>5</v>
      </c>
      <c r="J10" s="1" t="s">
        <v>98</v>
      </c>
      <c r="K10" s="50" t="n">
        <v>3500</v>
      </c>
      <c r="L10" s="50" t="n">
        <f aca="false">L9+K10</f>
        <v>22500</v>
      </c>
      <c r="M10" s="50" t="n">
        <f aca="false">M$2-L10</f>
        <v>15355</v>
      </c>
    </row>
    <row r="11" customFormat="false" ht="12.65" hidden="false" customHeight="false" outlineLevel="0" collapsed="false">
      <c r="I11" s="1" t="n">
        <v>6</v>
      </c>
      <c r="J11" s="1" t="s">
        <v>99</v>
      </c>
      <c r="K11" s="50" t="n">
        <v>3500</v>
      </c>
      <c r="L11" s="50" t="n">
        <f aca="false">L10+K11</f>
        <v>26000</v>
      </c>
      <c r="M11" s="50" t="n">
        <f aca="false">M$2-L11</f>
        <v>11855</v>
      </c>
    </row>
    <row r="12" customFormat="false" ht="12.65" hidden="false" customHeight="false" outlineLevel="0" collapsed="false">
      <c r="I12" s="1" t="n">
        <v>7</v>
      </c>
      <c r="J12" s="1" t="s">
        <v>100</v>
      </c>
      <c r="K12" s="50" t="n">
        <v>3500</v>
      </c>
      <c r="L12" s="50" t="n">
        <f aca="false">L11+K12</f>
        <v>29500</v>
      </c>
      <c r="M12" s="50" t="n">
        <f aca="false">M$2-L12</f>
        <v>8355</v>
      </c>
    </row>
    <row r="13" customFormat="false" ht="12.65" hidden="false" customHeight="false" outlineLevel="0" collapsed="false">
      <c r="I13" s="1" t="n">
        <v>8</v>
      </c>
      <c r="J13" s="1" t="s">
        <v>101</v>
      </c>
      <c r="K13" s="50" t="n">
        <v>3500</v>
      </c>
      <c r="L13" s="50" t="n">
        <f aca="false">L12+K13</f>
        <v>33000</v>
      </c>
      <c r="M13" s="50" t="n">
        <f aca="false">M$2-L13</f>
        <v>4855</v>
      </c>
    </row>
    <row r="14" customFormat="false" ht="12.65" hidden="false" customHeight="false" outlineLevel="0" collapsed="false">
      <c r="I14" s="52" t="n">
        <v>9</v>
      </c>
      <c r="J14" s="52" t="s">
        <v>102</v>
      </c>
      <c r="K14" s="53" t="n">
        <v>4855</v>
      </c>
      <c r="L14" s="53" t="n">
        <f aca="false">L13+K14</f>
        <v>37855</v>
      </c>
      <c r="M14" s="53" t="n">
        <f aca="false">M$2-L14</f>
        <v>0</v>
      </c>
    </row>
    <row r="15" customFormat="false" ht="12.65" hidden="false" customHeight="false" outlineLevel="0" collapsed="false">
      <c r="J15" s="1" t="s">
        <v>103</v>
      </c>
      <c r="K15" s="50" t="n">
        <v>0</v>
      </c>
      <c r="L15" s="50"/>
      <c r="M15" s="50"/>
    </row>
    <row r="16" customFormat="false" ht="12.65" hidden="false" customHeight="false" outlineLevel="0" collapsed="false">
      <c r="J16" s="1" t="s">
        <v>104</v>
      </c>
      <c r="K16" s="50" t="n">
        <v>0</v>
      </c>
      <c r="L16" s="50"/>
      <c r="M16" s="50"/>
    </row>
    <row r="17" customFormat="false" ht="12.65" hidden="false" customHeight="false" outlineLevel="0" collapsed="false">
      <c r="J17" s="1" t="s">
        <v>105</v>
      </c>
      <c r="K17" s="50" t="n">
        <v>0</v>
      </c>
      <c r="L17" s="50"/>
      <c r="M17" s="50"/>
    </row>
    <row r="18" customFormat="false" ht="12.65" hidden="false" customHeight="false" outlineLevel="0" collapsed="false">
      <c r="L18" s="50" t="n">
        <f aca="false">K14-K13</f>
        <v>1355</v>
      </c>
    </row>
    <row r="19" customFormat="false" ht="12.65" hidden="false" customHeight="false" outlineLevel="0" collapsed="false"/>
    <row r="20" customFormat="false" ht="12.65" hidden="false" customHeight="false" outlineLevel="0" collapsed="false">
      <c r="J20" s="1" t="s">
        <v>84</v>
      </c>
    </row>
    <row r="21" customFormat="false" ht="12.65" hidden="false" customHeight="false" outlineLevel="0" collapsed="false">
      <c r="J21" s="1" t="s">
        <v>106</v>
      </c>
      <c r="K21" s="1" t="s">
        <v>87</v>
      </c>
      <c r="L21" s="1" t="s">
        <v>88</v>
      </c>
      <c r="M21" s="1" t="s">
        <v>89</v>
      </c>
    </row>
    <row r="22" customFormat="false" ht="12.65" hidden="false" customHeight="false" outlineLevel="0" collapsed="false">
      <c r="J22" s="54" t="n">
        <v>45596</v>
      </c>
      <c r="K22" s="47" t="n">
        <v>1750</v>
      </c>
      <c r="L22" s="47" t="n">
        <f aca="false">K22</f>
        <v>1750</v>
      </c>
      <c r="M22" s="50" t="n">
        <f aca="false">$M$2-L22</f>
        <v>36105</v>
      </c>
    </row>
    <row r="23" customFormat="false" ht="12.65" hidden="false" customHeight="false" outlineLevel="0" collapsed="false">
      <c r="J23" s="54" t="n">
        <v>45611</v>
      </c>
      <c r="K23" s="47" t="n">
        <v>1750</v>
      </c>
      <c r="L23" s="47" t="n">
        <f aca="false">L22+K23</f>
        <v>3500</v>
      </c>
      <c r="M23" s="50" t="n">
        <f aca="false">$M$2-L23</f>
        <v>34355</v>
      </c>
    </row>
    <row r="24" customFormat="false" ht="12.65" hidden="false" customHeight="false" outlineLevel="0" collapsed="false">
      <c r="J24" s="54" t="n">
        <v>45625</v>
      </c>
      <c r="K24" s="47" t="n">
        <v>1750</v>
      </c>
      <c r="L24" s="47" t="n">
        <f aca="false">L23+K24</f>
        <v>5250</v>
      </c>
      <c r="M24" s="50" t="n">
        <f aca="false">$M$2-L24</f>
        <v>32605</v>
      </c>
    </row>
    <row r="25" customFormat="false" ht="12.65" hidden="false" customHeight="false" outlineLevel="0" collapsed="false">
      <c r="J25" s="54" t="n">
        <v>45639</v>
      </c>
      <c r="K25" s="47" t="n">
        <v>1750</v>
      </c>
      <c r="L25" s="47" t="n">
        <f aca="false">L24+K25</f>
        <v>7000</v>
      </c>
      <c r="M25" s="50" t="n">
        <f aca="false">$M$2-L25</f>
        <v>30855</v>
      </c>
    </row>
    <row r="26" customFormat="false" ht="12.65" hidden="false" customHeight="false" outlineLevel="0" collapsed="false">
      <c r="J26" s="54" t="n">
        <v>45656</v>
      </c>
      <c r="K26" s="47" t="n">
        <v>1750</v>
      </c>
      <c r="L26" s="47" t="n">
        <f aca="false">L25+K26</f>
        <v>8750</v>
      </c>
      <c r="M26" s="50" t="n">
        <f aca="false">$M$2-L26</f>
        <v>29105</v>
      </c>
    </row>
    <row r="27" customFormat="false" ht="12.65" hidden="false" customHeight="false" outlineLevel="0" collapsed="false">
      <c r="J27" s="54" t="n">
        <v>45306</v>
      </c>
      <c r="K27" s="47" t="n">
        <v>1750</v>
      </c>
      <c r="L27" s="47" t="n">
        <f aca="false">L26+K27</f>
        <v>10500</v>
      </c>
      <c r="M27" s="50" t="n">
        <f aca="false">$M$2-L27</f>
        <v>27355</v>
      </c>
    </row>
    <row r="28" customFormat="false" ht="12.65" hidden="false" customHeight="false" outlineLevel="0" collapsed="false">
      <c r="J28" s="54" t="n">
        <v>45321</v>
      </c>
      <c r="K28" s="47" t="n">
        <v>1750</v>
      </c>
      <c r="L28" s="47" t="n">
        <f aca="false">L27+K28</f>
        <v>12250</v>
      </c>
      <c r="M28" s="50" t="n">
        <f aca="false">$M$2-L28</f>
        <v>25605</v>
      </c>
    </row>
    <row r="29" customFormat="false" ht="12.65" hidden="false" customHeight="false" outlineLevel="0" collapsed="false">
      <c r="J29" s="54" t="n">
        <v>45337</v>
      </c>
      <c r="K29" s="47" t="n">
        <v>1750</v>
      </c>
      <c r="L29" s="47" t="n">
        <f aca="false">L28+K29</f>
        <v>14000</v>
      </c>
      <c r="M29" s="50" t="n">
        <f aca="false">$M$2-L29</f>
        <v>23855</v>
      </c>
    </row>
    <row r="30" customFormat="false" ht="12.65" hidden="false" customHeight="false" outlineLevel="0" collapsed="false">
      <c r="J30" s="54" t="n">
        <v>45350</v>
      </c>
      <c r="K30" s="47" t="n">
        <v>1750</v>
      </c>
      <c r="L30" s="47" t="n">
        <f aca="false">L29+K30</f>
        <v>15750</v>
      </c>
      <c r="M30" s="50" t="n">
        <f aca="false">$M$2-L30</f>
        <v>22105</v>
      </c>
    </row>
    <row r="31" customFormat="false" ht="12.65" hidden="false" customHeight="false" outlineLevel="0" collapsed="false">
      <c r="J31" s="54" t="n">
        <v>45365</v>
      </c>
      <c r="K31" s="47" t="n">
        <v>1750</v>
      </c>
      <c r="L31" s="47" t="n">
        <f aca="false">L30+K31</f>
        <v>17500</v>
      </c>
      <c r="M31" s="50" t="n">
        <f aca="false">$M$2-L31</f>
        <v>20355</v>
      </c>
    </row>
    <row r="32" customFormat="false" ht="12.65" hidden="false" customHeight="false" outlineLevel="0" collapsed="false">
      <c r="J32" s="54" t="n">
        <v>45379</v>
      </c>
      <c r="K32" s="47" t="n">
        <v>1750</v>
      </c>
      <c r="L32" s="47" t="n">
        <f aca="false">L31+K32</f>
        <v>19250</v>
      </c>
      <c r="M32" s="50" t="n">
        <f aca="false">$M$2-L32</f>
        <v>18605</v>
      </c>
    </row>
    <row r="33" customFormat="false" ht="12.65" hidden="false" customHeight="false" outlineLevel="0" collapsed="false">
      <c r="J33" s="54" t="n">
        <v>45396</v>
      </c>
      <c r="K33" s="47" t="n">
        <v>1750</v>
      </c>
      <c r="L33" s="47" t="n">
        <f aca="false">L32+K33</f>
        <v>21000</v>
      </c>
      <c r="M33" s="50" t="n">
        <f aca="false">$M$2-L33</f>
        <v>16855</v>
      </c>
    </row>
    <row r="34" customFormat="false" ht="12.65" hidden="false" customHeight="false" outlineLevel="0" collapsed="false">
      <c r="J34" s="54" t="n">
        <v>45410</v>
      </c>
      <c r="K34" s="47" t="n">
        <v>1750</v>
      </c>
      <c r="L34" s="47" t="n">
        <f aca="false">L33+K34</f>
        <v>22750</v>
      </c>
      <c r="M34" s="50" t="n">
        <f aca="false">$M$2-L34</f>
        <v>15105</v>
      </c>
    </row>
    <row r="35" customFormat="false" ht="12.65" hidden="false" customHeight="false" outlineLevel="0" collapsed="false">
      <c r="J35" s="54" t="n">
        <v>45427</v>
      </c>
      <c r="K35" s="47" t="n">
        <v>1750</v>
      </c>
      <c r="L35" s="47" t="n">
        <f aca="false">L34+K35</f>
        <v>24500</v>
      </c>
      <c r="M35" s="50" t="n">
        <f aca="false">$M$2-L35</f>
        <v>13355</v>
      </c>
    </row>
    <row r="36" customFormat="false" ht="12.65" hidden="false" customHeight="false" outlineLevel="0" collapsed="false">
      <c r="J36" s="54" t="n">
        <v>45442</v>
      </c>
      <c r="K36" s="47" t="n">
        <v>1750</v>
      </c>
      <c r="L36" s="47" t="n">
        <f aca="false">L35+K36</f>
        <v>26250</v>
      </c>
      <c r="M36" s="50" t="n">
        <f aca="false">$M$2-L36</f>
        <v>11605</v>
      </c>
      <c r="P36" s="47"/>
    </row>
    <row r="37" customFormat="false" ht="12.65" hidden="false" customHeight="false" outlineLevel="0" collapsed="false">
      <c r="J37" s="54" t="n">
        <v>45458</v>
      </c>
      <c r="K37" s="47" t="n">
        <v>1750</v>
      </c>
      <c r="L37" s="47" t="n">
        <f aca="false">L36+K37</f>
        <v>28000</v>
      </c>
      <c r="M37" s="50" t="n">
        <f aca="false">$M$2-L37</f>
        <v>9855</v>
      </c>
    </row>
    <row r="38" customFormat="false" ht="12.65" hidden="false" customHeight="false" outlineLevel="0" collapsed="false">
      <c r="J38" s="54" t="n">
        <v>45473</v>
      </c>
      <c r="K38" s="47" t="n">
        <v>1750</v>
      </c>
      <c r="L38" s="47" t="n">
        <f aca="false">L37+K38</f>
        <v>29750</v>
      </c>
      <c r="M38" s="50" t="n">
        <f aca="false">$M$2-L38</f>
        <v>8105</v>
      </c>
    </row>
    <row r="39" customFormat="false" ht="12.65" hidden="false" customHeight="false" outlineLevel="0" collapsed="false">
      <c r="J39" s="54" t="n">
        <v>45486</v>
      </c>
      <c r="K39" s="47" t="n">
        <v>1750</v>
      </c>
      <c r="L39" s="47" t="n">
        <f aca="false">L38+K39</f>
        <v>31500</v>
      </c>
      <c r="M39" s="50" t="n">
        <f aca="false">$M$2-L39</f>
        <v>6355</v>
      </c>
    </row>
    <row r="40" customFormat="false" ht="12.65" hidden="false" customHeight="false" outlineLevel="0" collapsed="false">
      <c r="J40" s="54" t="n">
        <v>45503</v>
      </c>
      <c r="K40" s="47" t="n">
        <v>1000</v>
      </c>
      <c r="L40" s="47" t="n">
        <f aca="false">L39+K40</f>
        <v>32500</v>
      </c>
      <c r="M40" s="50" t="n">
        <f aca="false">$M$2-L40</f>
        <v>5355</v>
      </c>
    </row>
    <row r="41" customFormat="false" ht="12.65" hidden="false" customHeight="false" outlineLevel="0" collapsed="false">
      <c r="J41" s="55" t="n">
        <v>45519</v>
      </c>
      <c r="K41" s="47" t="n">
        <v>1800</v>
      </c>
      <c r="L41" s="47" t="n">
        <f aca="false">L40+K41</f>
        <v>34300</v>
      </c>
      <c r="M41" s="50" t="n">
        <f aca="false">$M$2-L41</f>
        <v>3555</v>
      </c>
      <c r="N41" s="50"/>
    </row>
    <row r="42" customFormat="false" ht="12.65" hidden="false" customHeight="false" outlineLevel="0" collapsed="false">
      <c r="J42" s="56" t="n">
        <v>45534</v>
      </c>
      <c r="K42" s="57" t="n">
        <v>1800</v>
      </c>
      <c r="L42" s="57" t="n">
        <f aca="false">L41+K42</f>
        <v>36100</v>
      </c>
      <c r="M42" s="58" t="n">
        <f aca="false">$M$2-L42</f>
        <v>1755</v>
      </c>
      <c r="N42" s="1" t="s">
        <v>107</v>
      </c>
    </row>
    <row r="43" customFormat="false" ht="12" hidden="false" customHeight="false" outlineLevel="0" collapsed="false">
      <c r="K43" s="47"/>
      <c r="L43" s="47"/>
      <c r="M43" s="50"/>
    </row>
    <row r="44" customFormat="false" ht="12" hidden="false" customHeight="false" outlineLevel="0" collapsed="false">
      <c r="K44" s="50"/>
    </row>
    <row r="45" customFormat="false" ht="12" hidden="false" customHeight="false" outlineLevel="0" collapsed="false">
      <c r="L45" s="50"/>
      <c r="M45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1"/>
  <sheetViews>
    <sheetView showFormulas="false" showGridLines="true" showRowColHeaders="true" showZeros="true" rightToLeft="false" tabSelected="false" showOutlineSymbols="true" defaultGridColor="true" view="normal" topLeftCell="A1" colorId="64" zoomScale="130" zoomScaleNormal="130" zoomScalePageLayoutView="100" workbookViewId="0">
      <selection pane="topLeft" activeCell="U24" activeCellId="0" sqref="U24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6.82"/>
    <col collapsed="false" customWidth="true" hidden="false" outlineLevel="0" max="2" min="2" style="1" width="21"/>
    <col collapsed="false" customWidth="true" hidden="false" outlineLevel="0" max="3" min="3" style="1" width="14"/>
    <col collapsed="false" customWidth="true" hidden="false" outlineLevel="0" max="9" min="9" style="1" width="12.45"/>
    <col collapsed="false" customWidth="true" hidden="false" outlineLevel="0" max="11" min="11" style="1" width="13.45"/>
    <col collapsed="false" customWidth="true" hidden="false" outlineLevel="0" max="12" min="12" style="1" width="12.45"/>
    <col collapsed="false" customWidth="true" hidden="false" outlineLevel="0" max="14" min="14" style="1" width="13.45"/>
    <col collapsed="false" customWidth="true" hidden="false" outlineLevel="0" max="15" min="15" style="1" width="11.45"/>
    <col collapsed="false" customWidth="true" hidden="false" outlineLevel="0" max="17" min="17" style="1" width="13.45"/>
    <col collapsed="false" customWidth="true" hidden="false" outlineLevel="0" max="20" min="20" style="1" width="15.45"/>
  </cols>
  <sheetData>
    <row r="1" customFormat="false" ht="12.65" hidden="false" customHeight="false" outlineLevel="0" collapsed="false">
      <c r="A1" s="59" t="s">
        <v>108</v>
      </c>
      <c r="B1" s="59"/>
      <c r="C1" s="59"/>
    </row>
    <row r="2" customFormat="false" ht="12.65" hidden="false" customHeight="false" outlineLevel="0" collapsed="false">
      <c r="A2" s="51" t="s">
        <v>109</v>
      </c>
      <c r="B2" s="51" t="s">
        <v>106</v>
      </c>
      <c r="C2" s="51" t="s">
        <v>110</v>
      </c>
    </row>
    <row r="3" customFormat="false" ht="12.65" hidden="false" customHeight="false" outlineLevel="0" collapsed="false">
      <c r="A3" s="48" t="n">
        <v>22000</v>
      </c>
      <c r="B3" s="48" t="n">
        <f aca="false">A3/2</f>
        <v>11000</v>
      </c>
      <c r="C3" s="48" t="n">
        <v>2700</v>
      </c>
    </row>
    <row r="4" customFormat="false" ht="12.65" hidden="false" customHeight="false" outlineLevel="0" collapsed="false">
      <c r="A4" s="48"/>
      <c r="B4" s="48"/>
      <c r="C4" s="48"/>
    </row>
    <row r="5" customFormat="false" ht="12.65" hidden="false" customHeight="false" outlineLevel="0" collapsed="false">
      <c r="B5" s="55" t="n">
        <v>45580</v>
      </c>
      <c r="C5" s="55" t="n">
        <v>45595</v>
      </c>
      <c r="D5" s="55" t="n">
        <v>45611</v>
      </c>
      <c r="E5" s="55" t="n">
        <v>45626</v>
      </c>
      <c r="F5" s="55" t="n">
        <v>45641</v>
      </c>
      <c r="G5" s="55" t="n">
        <v>45656</v>
      </c>
    </row>
    <row r="6" customFormat="false" ht="12.65" hidden="false" customHeight="false" outlineLevel="0" collapsed="false">
      <c r="A6" s="1" t="s">
        <v>111</v>
      </c>
      <c r="C6" s="60" t="n">
        <v>3117.15</v>
      </c>
    </row>
    <row r="7" customFormat="false" ht="12.65" hidden="false" customHeight="false" outlineLevel="0" collapsed="false">
      <c r="A7" s="61" t="s">
        <v>112</v>
      </c>
      <c r="B7" s="47" t="n">
        <f aca="false">C7+C8+C9+C12+C13</f>
        <v>2662.5</v>
      </c>
      <c r="C7" s="62" t="n">
        <v>450</v>
      </c>
      <c r="D7" s="50" t="n">
        <v>0</v>
      </c>
      <c r="E7" s="47" t="n">
        <v>1000</v>
      </c>
      <c r="F7" s="47" t="n">
        <v>500</v>
      </c>
      <c r="G7" s="47" t="n">
        <v>500</v>
      </c>
    </row>
    <row r="8" customFormat="false" ht="12.65" hidden="false" customHeight="false" outlineLevel="0" collapsed="false">
      <c r="A8" s="63" t="s">
        <v>113</v>
      </c>
      <c r="B8" s="47"/>
      <c r="C8" s="62" t="n">
        <v>0</v>
      </c>
      <c r="D8" s="60" t="n">
        <v>1000</v>
      </c>
      <c r="E8" s="47" t="n">
        <v>500</v>
      </c>
      <c r="F8" s="47" t="n">
        <v>500</v>
      </c>
      <c r="G8" s="47" t="n">
        <v>500</v>
      </c>
      <c r="I8" s="47"/>
    </row>
    <row r="9" customFormat="false" ht="12.65" hidden="false" customHeight="false" outlineLevel="0" collapsed="false">
      <c r="A9" s="63" t="s">
        <v>114</v>
      </c>
      <c r="B9" s="47"/>
      <c r="C9" s="47" t="n">
        <v>400</v>
      </c>
      <c r="D9" s="47" t="n">
        <v>0</v>
      </c>
      <c r="E9" s="47" t="n">
        <v>200</v>
      </c>
      <c r="F9" s="47" t="n">
        <v>200</v>
      </c>
      <c r="G9" s="47" t="n">
        <v>200</v>
      </c>
      <c r="I9" s="47"/>
    </row>
    <row r="10" customFormat="false" ht="12.65" hidden="false" customHeight="false" outlineLevel="0" collapsed="false">
      <c r="A10" s="64" t="s">
        <v>115</v>
      </c>
      <c r="B10" s="47"/>
      <c r="C10" s="48" t="n">
        <v>0</v>
      </c>
      <c r="D10" s="60" t="n">
        <v>281</v>
      </c>
      <c r="E10" s="48" t="n">
        <v>0</v>
      </c>
      <c r="F10" s="48" t="n">
        <v>281</v>
      </c>
      <c r="G10" s="48" t="n">
        <v>0</v>
      </c>
      <c r="H10" s="50" t="n">
        <f aca="false">D10+D12+D14+D15</f>
        <v>6531</v>
      </c>
      <c r="I10" s="48"/>
    </row>
    <row r="11" customFormat="false" ht="12.65" hidden="false" customHeight="false" outlineLevel="0" collapsed="false">
      <c r="A11" s="64" t="s">
        <v>116</v>
      </c>
      <c r="B11" s="47"/>
      <c r="C11" s="47" t="n">
        <v>0</v>
      </c>
      <c r="D11" s="47" t="n">
        <v>0</v>
      </c>
      <c r="E11" s="47" t="n">
        <v>0</v>
      </c>
      <c r="F11" s="47" t="n">
        <v>0</v>
      </c>
      <c r="G11" s="47" t="n">
        <v>0</v>
      </c>
      <c r="I11" s="47"/>
    </row>
    <row r="12" customFormat="false" ht="12.65" hidden="false" customHeight="false" outlineLevel="0" collapsed="false">
      <c r="A12" s="63" t="s">
        <v>117</v>
      </c>
      <c r="B12" s="47"/>
      <c r="C12" s="60" t="n">
        <f aca="false">3500/2</f>
        <v>1750</v>
      </c>
      <c r="D12" s="60" t="n">
        <f aca="false">3500/2</f>
        <v>1750</v>
      </c>
      <c r="E12" s="47" t="n">
        <f aca="false">3500/2</f>
        <v>1750</v>
      </c>
      <c r="F12" s="47" t="n">
        <f aca="false">3500/2</f>
        <v>1750</v>
      </c>
      <c r="G12" s="47" t="n">
        <f aca="false">3500/2</f>
        <v>1750</v>
      </c>
      <c r="I12" s="47"/>
    </row>
    <row r="13" customFormat="false" ht="12.65" hidden="false" customHeight="false" outlineLevel="0" collapsed="false">
      <c r="A13" s="63" t="s">
        <v>118</v>
      </c>
      <c r="B13" s="47"/>
      <c r="C13" s="47" t="n">
        <v>62.5</v>
      </c>
      <c r="D13" s="47" t="n">
        <v>0</v>
      </c>
      <c r="E13" s="47" t="n">
        <v>0</v>
      </c>
      <c r="F13" s="47" t="n">
        <v>0</v>
      </c>
      <c r="G13" s="47" t="n">
        <v>0</v>
      </c>
      <c r="I13" s="47"/>
    </row>
    <row r="14" customFormat="false" ht="12.65" hidden="false" customHeight="false" outlineLevel="0" collapsed="false">
      <c r="A14" s="1" t="s">
        <v>119</v>
      </c>
      <c r="B14" s="50"/>
      <c r="C14" s="47" t="n">
        <v>3000</v>
      </c>
      <c r="D14" s="60" t="n">
        <v>4000</v>
      </c>
      <c r="E14" s="47" t="n">
        <v>3000</v>
      </c>
      <c r="F14" s="47" t="n">
        <v>3500</v>
      </c>
      <c r="G14" s="47" t="n">
        <v>3000</v>
      </c>
      <c r="I14" s="47"/>
    </row>
    <row r="15" customFormat="false" ht="12.65" hidden="false" customHeight="false" outlineLevel="0" collapsed="false">
      <c r="A15" s="64" t="s">
        <v>92</v>
      </c>
      <c r="B15" s="47"/>
      <c r="C15" s="62" t="n">
        <v>500</v>
      </c>
      <c r="D15" s="60" t="n">
        <v>500</v>
      </c>
      <c r="E15" s="47" t="n">
        <v>250</v>
      </c>
      <c r="F15" s="47" t="n">
        <f aca="false">E15</f>
        <v>250</v>
      </c>
      <c r="G15" s="47" t="n">
        <f aca="false">F15</f>
        <v>250</v>
      </c>
      <c r="I15" s="47"/>
    </row>
    <row r="16" customFormat="false" ht="12.65" hidden="false" customHeight="false" outlineLevel="0" collapsed="false">
      <c r="A16" s="1" t="s">
        <v>120</v>
      </c>
      <c r="B16" s="47" t="n">
        <v>0</v>
      </c>
      <c r="C16" s="60" t="n">
        <v>1156.85</v>
      </c>
      <c r="D16" s="47" t="n">
        <v>0</v>
      </c>
      <c r="E16" s="47" t="n">
        <v>2137</v>
      </c>
      <c r="F16" s="47" t="n">
        <v>0</v>
      </c>
      <c r="G16" s="47" t="n">
        <v>2137</v>
      </c>
      <c r="I16" s="47"/>
    </row>
    <row r="17" customFormat="false" ht="12.65" hidden="false" customHeight="false" outlineLevel="0" collapsed="false">
      <c r="A17" s="1" t="s">
        <v>121</v>
      </c>
      <c r="B17" s="50"/>
      <c r="C17" s="50" t="n">
        <f aca="false">SUM(C6:C16)</f>
        <v>10436.5</v>
      </c>
      <c r="D17" s="50" t="n">
        <f aca="false">SUM(D7:D16)</f>
        <v>7531</v>
      </c>
      <c r="E17" s="50" t="n">
        <f aca="false">SUM(E7:E16)</f>
        <v>8837</v>
      </c>
      <c r="F17" s="50" t="n">
        <f aca="false">SUM(F7:F16)</f>
        <v>6981</v>
      </c>
      <c r="G17" s="50" t="n">
        <f aca="false">SUM(G7:G16)</f>
        <v>8337</v>
      </c>
      <c r="I17" s="50"/>
    </row>
    <row r="18" customFormat="false" ht="12.65" hidden="false" customHeight="false" outlineLevel="0" collapsed="false"/>
    <row r="19" customFormat="false" ht="12.65" hidden="false" customHeight="false" outlineLevel="0" collapsed="false">
      <c r="B19" s="50"/>
      <c r="C19" s="65" t="n">
        <v>0</v>
      </c>
      <c r="D19" s="50" t="n">
        <f aca="false">$B$3-D17</f>
        <v>3469</v>
      </c>
      <c r="E19" s="50" t="n">
        <f aca="false">$B$3-E17</f>
        <v>2163</v>
      </c>
      <c r="F19" s="50" t="n">
        <f aca="false">$B$3-F17</f>
        <v>4019</v>
      </c>
      <c r="G19" s="50" t="n">
        <f aca="false">$B$3-G17</f>
        <v>2663</v>
      </c>
      <c r="H19" s="50"/>
      <c r="I19" s="50" t="n">
        <f aca="false">F19+G19+F22</f>
        <v>17682</v>
      </c>
      <c r="J19" s="66"/>
      <c r="K19" s="67" t="s">
        <v>122</v>
      </c>
      <c r="L19" s="68"/>
      <c r="N19" s="69" t="s">
        <v>123</v>
      </c>
      <c r="O19" s="70"/>
      <c r="Q19" s="66" t="s">
        <v>124</v>
      </c>
      <c r="T19" s="71" t="s">
        <v>125</v>
      </c>
      <c r="U19" s="72"/>
      <c r="W19" s="66" t="s">
        <v>126</v>
      </c>
    </row>
    <row r="20" customFormat="false" ht="12.65" hidden="false" customHeight="false" outlineLevel="0" collapsed="false">
      <c r="B20" s="50"/>
      <c r="C20" s="73" t="s">
        <v>92</v>
      </c>
      <c r="D20" s="74" t="n">
        <v>0</v>
      </c>
      <c r="I20" s="50"/>
      <c r="J20" s="50"/>
      <c r="K20" s="69" t="s">
        <v>127</v>
      </c>
      <c r="L20" s="75" t="n">
        <f aca="false">2700+1300+1250</f>
        <v>5250</v>
      </c>
      <c r="N20" s="69" t="s">
        <v>127</v>
      </c>
      <c r="O20" s="75" t="n">
        <v>5000</v>
      </c>
      <c r="Q20" s="69" t="s">
        <v>128</v>
      </c>
      <c r="R20" s="70" t="n">
        <v>2500</v>
      </c>
      <c r="T20" s="76" t="s">
        <v>129</v>
      </c>
      <c r="U20" s="77" t="n">
        <v>10000</v>
      </c>
      <c r="W20" s="69" t="s">
        <v>129</v>
      </c>
      <c r="X20" s="75" t="n">
        <v>10000</v>
      </c>
    </row>
    <row r="21" customFormat="false" ht="35.5" hidden="false" customHeight="false" outlineLevel="0" collapsed="false">
      <c r="B21" s="50"/>
      <c r="C21" s="78" t="s">
        <v>130</v>
      </c>
      <c r="D21" s="73"/>
      <c r="K21" s="69" t="s">
        <v>131</v>
      </c>
      <c r="L21" s="75" t="n">
        <v>5000</v>
      </c>
      <c r="N21" s="69" t="s">
        <v>131</v>
      </c>
      <c r="O21" s="75" t="n">
        <v>5000</v>
      </c>
      <c r="Q21" s="69" t="s">
        <v>127</v>
      </c>
      <c r="R21" s="70" t="n">
        <v>2500</v>
      </c>
      <c r="T21" s="76" t="s">
        <v>127</v>
      </c>
      <c r="U21" s="77" t="n">
        <v>1000</v>
      </c>
      <c r="W21" s="66" t="s">
        <v>132</v>
      </c>
      <c r="X21" s="1" t="n">
        <v>6000</v>
      </c>
    </row>
    <row r="22" customFormat="false" ht="24.05" hidden="false" customHeight="false" outlineLevel="0" collapsed="false">
      <c r="B22" s="50"/>
      <c r="C22" s="79" t="s">
        <v>133</v>
      </c>
      <c r="D22" s="66" t="n">
        <v>3000</v>
      </c>
      <c r="F22" s="47" t="n">
        <v>11000</v>
      </c>
      <c r="K22" s="69" t="s">
        <v>134</v>
      </c>
      <c r="L22" s="75" t="n">
        <v>1000</v>
      </c>
      <c r="N22" s="69" t="s">
        <v>134</v>
      </c>
      <c r="O22" s="75" t="n">
        <v>2000</v>
      </c>
      <c r="Q22" s="69" t="s">
        <v>131</v>
      </c>
      <c r="R22" s="70" t="n">
        <v>4000</v>
      </c>
      <c r="T22" s="76" t="s">
        <v>131</v>
      </c>
      <c r="U22" s="77" t="n">
        <v>2000</v>
      </c>
      <c r="W22" s="69" t="s">
        <v>134</v>
      </c>
      <c r="X22" s="75" t="n">
        <v>1000</v>
      </c>
    </row>
    <row r="23" customFormat="false" ht="12.65" hidden="false" customHeight="false" outlineLevel="0" collapsed="false">
      <c r="C23" s="1" t="s">
        <v>135</v>
      </c>
      <c r="D23" s="50" t="n">
        <f aca="false">SUM(D19:D22)</f>
        <v>6469</v>
      </c>
      <c r="E23" s="50"/>
      <c r="K23" s="69" t="s">
        <v>136</v>
      </c>
      <c r="L23" s="75" t="n">
        <v>0</v>
      </c>
      <c r="N23" s="69" t="s">
        <v>136</v>
      </c>
      <c r="O23" s="75" t="n">
        <v>5000</v>
      </c>
      <c r="Q23" s="69" t="s">
        <v>134</v>
      </c>
      <c r="R23" s="70" t="n">
        <v>2000</v>
      </c>
      <c r="T23" s="76" t="s">
        <v>134</v>
      </c>
      <c r="U23" s="77" t="n">
        <v>2000</v>
      </c>
    </row>
    <row r="24" customFormat="false" ht="12.65" hidden="false" customHeight="false" outlineLevel="0" collapsed="false">
      <c r="L24" s="50" t="n">
        <f aca="false">SUM(L20:L23)</f>
        <v>11250</v>
      </c>
      <c r="O24" s="50" t="n">
        <f aca="false">SUM(O20:O23)</f>
        <v>17000</v>
      </c>
      <c r="Q24" s="69" t="s">
        <v>136</v>
      </c>
      <c r="R24" s="70" t="n">
        <v>6000</v>
      </c>
      <c r="T24" s="76" t="s">
        <v>136</v>
      </c>
      <c r="U24" s="77" t="n">
        <v>2000</v>
      </c>
    </row>
    <row r="25" customFormat="false" ht="12.65" hidden="false" customHeight="false" outlineLevel="0" collapsed="false">
      <c r="D25" s="50"/>
      <c r="R25" s="47" t="n">
        <f aca="false">SUM(R20:R24)</f>
        <v>17000</v>
      </c>
      <c r="T25" s="72"/>
      <c r="U25" s="80" t="n">
        <f aca="false">SUM(U20:U24)</f>
        <v>17000</v>
      </c>
    </row>
    <row r="26" customFormat="false" ht="12.65" hidden="false" customHeight="false" outlineLevel="0" collapsed="false">
      <c r="C26" s="50" t="s">
        <v>137</v>
      </c>
      <c r="D26" s="47" t="n">
        <v>3000</v>
      </c>
    </row>
    <row r="27" customFormat="false" ht="12.65" hidden="false" customHeight="false" outlineLevel="0" collapsed="false">
      <c r="C27" s="1" t="s">
        <v>138</v>
      </c>
      <c r="D27" s="60" t="n">
        <v>1100</v>
      </c>
      <c r="E27" s="50"/>
    </row>
    <row r="28" customFormat="false" ht="12.65" hidden="false" customHeight="false" outlineLevel="0" collapsed="false">
      <c r="C28" s="81" t="s">
        <v>139</v>
      </c>
      <c r="D28" s="82" t="n">
        <v>2032</v>
      </c>
      <c r="E28" s="1" t="s">
        <v>140</v>
      </c>
    </row>
    <row r="29" customFormat="false" ht="12.65" hidden="false" customHeight="false" outlineLevel="0" collapsed="false">
      <c r="C29" s="83" t="s">
        <v>141</v>
      </c>
      <c r="D29" s="84" t="n">
        <v>187</v>
      </c>
    </row>
    <row r="30" customFormat="false" ht="12.65" hidden="false" customHeight="false" outlineLevel="0" collapsed="false"/>
    <row r="31" customFormat="false" ht="12.65" hidden="false" customHeight="false" outlineLevel="0" collapsed="false">
      <c r="D31" s="50" t="n">
        <f aca="false">D23-SUM(D26:D29)</f>
        <v>150</v>
      </c>
    </row>
  </sheetData>
  <mergeCells count="1">
    <mergeCell ref="A1:C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G9" activeCellId="0" sqref="G9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6.91"/>
    <col collapsed="false" customWidth="true" hidden="false" outlineLevel="0" max="4" min="4" style="1" width="17.91"/>
  </cols>
  <sheetData>
    <row r="1" customFormat="false" ht="12.65" hidden="false" customHeight="false" outlineLevel="0" collapsed="false">
      <c r="A1" s="51" t="s">
        <v>109</v>
      </c>
      <c r="C1" s="1" t="s">
        <v>142</v>
      </c>
    </row>
    <row r="2" customFormat="false" ht="12.65" hidden="false" customHeight="false" outlineLevel="0" collapsed="false">
      <c r="A2" s="48" t="n">
        <f aca="false">11160*2</f>
        <v>22320</v>
      </c>
      <c r="C2" s="1" t="n">
        <v>11000</v>
      </c>
    </row>
    <row r="3" customFormat="false" ht="12.65" hidden="false" customHeight="false" outlineLevel="0" collapsed="false">
      <c r="A3" s="48"/>
    </row>
    <row r="4" customFormat="false" ht="12.65" hidden="false" customHeight="false" outlineLevel="0" collapsed="false">
      <c r="B4" s="55" t="n">
        <v>45639</v>
      </c>
      <c r="C4" s="55" t="n">
        <v>45656</v>
      </c>
      <c r="F4" s="1" t="s">
        <v>143</v>
      </c>
      <c r="G4" s="1" t="n">
        <v>500</v>
      </c>
    </row>
    <row r="5" customFormat="false" ht="12.65" hidden="false" customHeight="false" outlineLevel="0" collapsed="false">
      <c r="A5" s="1" t="s">
        <v>144</v>
      </c>
      <c r="B5" s="47" t="n">
        <f aca="false">3413.22-2649.83</f>
        <v>763.39</v>
      </c>
      <c r="C5" s="1" t="n">
        <v>0</v>
      </c>
      <c r="D5" s="50" t="n">
        <f aca="false">B5+B6</f>
        <v>2660.39</v>
      </c>
      <c r="F5" s="1" t="s">
        <v>145</v>
      </c>
      <c r="G5" s="1" t="n">
        <v>500</v>
      </c>
    </row>
    <row r="6" customFormat="false" ht="12.65" hidden="false" customHeight="false" outlineLevel="0" collapsed="false">
      <c r="A6" s="1" t="s">
        <v>146</v>
      </c>
      <c r="B6" s="47" t="n">
        <f aca="false">(5694-1900)/2</f>
        <v>1897</v>
      </c>
      <c r="C6" s="47" t="n">
        <v>1071.09</v>
      </c>
      <c r="F6" s="1" t="s">
        <v>147</v>
      </c>
      <c r="G6" s="1" t="n">
        <v>300</v>
      </c>
    </row>
    <row r="7" customFormat="false" ht="12.65" hidden="false" customHeight="false" outlineLevel="0" collapsed="false">
      <c r="A7" s="1" t="s">
        <v>113</v>
      </c>
      <c r="B7" s="47" t="n">
        <v>1000</v>
      </c>
      <c r="C7" s="1" t="n">
        <v>1000</v>
      </c>
      <c r="F7" s="1" t="s">
        <v>148</v>
      </c>
      <c r="G7" s="1" t="n">
        <v>300</v>
      </c>
    </row>
    <row r="8" customFormat="false" ht="12.65" hidden="false" customHeight="false" outlineLevel="0" collapsed="false">
      <c r="A8" s="1" t="s">
        <v>117</v>
      </c>
      <c r="B8" s="47" t="n">
        <v>1750</v>
      </c>
      <c r="C8" s="47" t="n">
        <v>1750</v>
      </c>
      <c r="F8" s="1" t="s">
        <v>149</v>
      </c>
      <c r="G8" s="1" t="n">
        <v>3000</v>
      </c>
    </row>
    <row r="9" customFormat="false" ht="12.65" hidden="false" customHeight="false" outlineLevel="0" collapsed="false">
      <c r="A9" s="1" t="s">
        <v>119</v>
      </c>
      <c r="B9" s="47" t="n">
        <v>3500</v>
      </c>
      <c r="C9" s="1" t="n">
        <v>3000</v>
      </c>
      <c r="F9" s="1" t="s">
        <v>150</v>
      </c>
      <c r="G9" s="1" t="n">
        <v>3000</v>
      </c>
    </row>
    <row r="10" customFormat="false" ht="12.65" hidden="false" customHeight="false" outlineLevel="0" collapsed="false">
      <c r="A10" s="1" t="s">
        <v>92</v>
      </c>
      <c r="B10" s="47" t="n">
        <v>500</v>
      </c>
      <c r="C10" s="47" t="n">
        <v>0</v>
      </c>
      <c r="F10" s="1" t="s">
        <v>151</v>
      </c>
      <c r="G10" s="1" t="n">
        <v>3400</v>
      </c>
      <c r="H10" s="50" t="n">
        <f aca="false">G10+B17+C17</f>
        <v>8873.52</v>
      </c>
    </row>
    <row r="11" customFormat="false" ht="12.65" hidden="false" customHeight="true" outlineLevel="0" collapsed="false">
      <c r="A11" s="1" t="s">
        <v>152</v>
      </c>
      <c r="B11" s="47" t="n">
        <v>250</v>
      </c>
      <c r="C11" s="1" t="n">
        <v>365</v>
      </c>
      <c r="D11" s="85" t="s">
        <v>153</v>
      </c>
    </row>
    <row r="12" customFormat="false" ht="24" hidden="false" customHeight="true" outlineLevel="0" collapsed="false">
      <c r="D12" s="85"/>
      <c r="F12" s="1" t="s">
        <v>121</v>
      </c>
      <c r="G12" s="1" t="n">
        <f aca="false">SUM(G4:G10)</f>
        <v>11000</v>
      </c>
    </row>
    <row r="13" customFormat="false" ht="12.65" hidden="false" customHeight="false" outlineLevel="0" collapsed="false"/>
    <row r="14" customFormat="false" ht="12.65" hidden="false" customHeight="false" outlineLevel="0" collapsed="false">
      <c r="D14" s="1" t="s">
        <v>154</v>
      </c>
    </row>
    <row r="15" customFormat="false" ht="12.65" hidden="false" customHeight="false" outlineLevel="0" collapsed="false">
      <c r="B15" s="47"/>
      <c r="D15" s="1" t="s">
        <v>155</v>
      </c>
    </row>
    <row r="16" customFormat="false" ht="12.65" hidden="false" customHeight="false" outlineLevel="0" collapsed="false">
      <c r="A16" s="1" t="s">
        <v>121</v>
      </c>
      <c r="B16" s="47" t="n">
        <f aca="false">SUM(B5:B11)</f>
        <v>9660.39</v>
      </c>
      <c r="C16" s="47" t="n">
        <f aca="false">SUM(C5:C11)</f>
        <v>7186.09</v>
      </c>
      <c r="D16" s="50"/>
    </row>
    <row r="17" customFormat="false" ht="12.65" hidden="false" customHeight="false" outlineLevel="0" collapsed="false">
      <c r="A17" s="52" t="s">
        <v>156</v>
      </c>
      <c r="B17" s="53" t="n">
        <f aca="false">(A2/2)-B16</f>
        <v>1499.61</v>
      </c>
      <c r="C17" s="53" t="n">
        <f aca="false">(A2/2)-C16</f>
        <v>3973.91</v>
      </c>
      <c r="D17" s="1" t="s">
        <v>157</v>
      </c>
    </row>
    <row r="18" customFormat="false" ht="12.65" hidden="false" customHeight="false" outlineLevel="0" collapsed="false"/>
    <row r="19" customFormat="false" ht="12.65" hidden="false" customHeight="false" outlineLevel="0" collapsed="false"/>
    <row r="20" customFormat="false" ht="12.65" hidden="false" customHeight="false" outlineLevel="0" collapsed="false"/>
    <row r="21" customFormat="false" ht="12.65" hidden="false" customHeight="false" outlineLevel="0" collapsed="false">
      <c r="F21" s="1" t="s">
        <v>158</v>
      </c>
      <c r="G21" s="1" t="n">
        <v>4000</v>
      </c>
      <c r="H21" s="1" t="n">
        <v>6813.9</v>
      </c>
    </row>
    <row r="22" customFormat="false" ht="12.65" hidden="false" customHeight="false" outlineLevel="0" collapsed="false">
      <c r="F22" s="1" t="s">
        <v>127</v>
      </c>
      <c r="G22" s="1" t="n">
        <f aca="false">H21-G21</f>
        <v>2813.9</v>
      </c>
    </row>
    <row r="23" customFormat="false" ht="12.65" hidden="false" customHeight="false" outlineLevel="0" collapsed="false">
      <c r="F23" s="1" t="s">
        <v>113</v>
      </c>
      <c r="G23" s="1" t="n">
        <v>1000</v>
      </c>
    </row>
  </sheetData>
  <mergeCells count="1">
    <mergeCell ref="D11:D1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4.54"/>
    <col collapsed="false" customWidth="true" hidden="false" outlineLevel="0" max="12" min="12" style="1" width="17.18"/>
  </cols>
  <sheetData>
    <row r="1" customFormat="false" ht="12.65" hidden="false" customHeight="false" outlineLevel="0" collapsed="false">
      <c r="A1" s="1" t="s">
        <v>159</v>
      </c>
      <c r="B1" s="47" t="n">
        <v>10805</v>
      </c>
      <c r="C1" s="1" t="n">
        <v>11000</v>
      </c>
    </row>
    <row r="2" customFormat="false" ht="12.65" hidden="false" customHeight="false" outlineLevel="0" collapsed="false">
      <c r="A2" s="1" t="s">
        <v>146</v>
      </c>
      <c r="B2" s="47" t="n">
        <f aca="false">9306.88-980</f>
        <v>8326.88</v>
      </c>
      <c r="C2" s="1" t="n">
        <v>1011.9</v>
      </c>
    </row>
    <row r="3" customFormat="false" ht="12.65" hidden="false" customHeight="false" outlineLevel="0" collapsed="false">
      <c r="A3" s="59" t="s">
        <v>160</v>
      </c>
      <c r="B3" s="59"/>
    </row>
    <row r="4" customFormat="false" ht="12.65" hidden="false" customHeight="false" outlineLevel="0" collapsed="false">
      <c r="A4" s="1" t="s">
        <v>144</v>
      </c>
      <c r="B4" s="47" t="n">
        <v>0</v>
      </c>
      <c r="C4" s="1" t="n">
        <v>0</v>
      </c>
      <c r="F4" s="1" t="s">
        <v>161</v>
      </c>
      <c r="L4" s="1" t="s">
        <v>162</v>
      </c>
      <c r="M4" s="47" t="n">
        <f aca="false">10000-2500</f>
        <v>7500</v>
      </c>
    </row>
    <row r="5" customFormat="false" ht="12.65" hidden="false" customHeight="false" outlineLevel="0" collapsed="false">
      <c r="A5" s="1" t="s">
        <v>163</v>
      </c>
      <c r="B5" s="65" t="n">
        <v>0</v>
      </c>
      <c r="C5" s="50" t="n">
        <v>0</v>
      </c>
      <c r="E5" s="1" t="s">
        <v>164</v>
      </c>
      <c r="F5" s="48" t="n">
        <v>25000</v>
      </c>
      <c r="L5" s="1" t="s">
        <v>165</v>
      </c>
      <c r="M5" s="47" t="n">
        <v>3000</v>
      </c>
    </row>
    <row r="6" customFormat="false" ht="24.05" hidden="false" customHeight="false" outlineLevel="0" collapsed="false">
      <c r="A6" s="1" t="s">
        <v>113</v>
      </c>
      <c r="B6" s="47" t="n">
        <v>0</v>
      </c>
      <c r="C6" s="1" t="n">
        <v>1000</v>
      </c>
      <c r="E6" s="81" t="s">
        <v>166</v>
      </c>
      <c r="F6" s="65" t="n">
        <f aca="false">F5-B2-C2</f>
        <v>15661.22</v>
      </c>
      <c r="G6" s="1" t="s">
        <v>167</v>
      </c>
      <c r="L6" s="1" t="s">
        <v>168</v>
      </c>
      <c r="M6" s="1" t="n">
        <v>1000</v>
      </c>
    </row>
    <row r="7" customFormat="false" ht="12.65" hidden="false" customHeight="false" outlineLevel="0" collapsed="false">
      <c r="A7" s="1" t="s">
        <v>169</v>
      </c>
      <c r="B7" s="47" t="n">
        <v>0</v>
      </c>
      <c r="C7" s="50" t="n">
        <v>450</v>
      </c>
      <c r="F7" s="50" t="n">
        <f aca="false">C16+B16</f>
        <v>3656.48</v>
      </c>
      <c r="L7" s="1" t="s">
        <v>170</v>
      </c>
      <c r="M7" s="1" t="n">
        <v>722</v>
      </c>
    </row>
    <row r="8" customFormat="false" ht="12.65" hidden="false" customHeight="false" outlineLevel="0" collapsed="false">
      <c r="A8" s="1" t="s">
        <v>114</v>
      </c>
      <c r="B8" s="47" t="n">
        <v>400</v>
      </c>
      <c r="C8" s="1" t="n">
        <v>0</v>
      </c>
      <c r="L8" s="1" t="s">
        <v>171</v>
      </c>
      <c r="M8" s="1" t="n">
        <v>1628</v>
      </c>
    </row>
    <row r="9" customFormat="false" ht="12.65" hidden="false" customHeight="false" outlineLevel="0" collapsed="false">
      <c r="A9" s="1" t="s">
        <v>172</v>
      </c>
      <c r="B9" s="47" t="n">
        <v>3000</v>
      </c>
      <c r="C9" s="50" t="n">
        <v>4000</v>
      </c>
      <c r="L9" s="1" t="s">
        <v>173</v>
      </c>
      <c r="M9" s="1" t="n">
        <v>1000</v>
      </c>
    </row>
    <row r="10" customFormat="false" ht="12.65" hidden="false" customHeight="false" outlineLevel="0" collapsed="false">
      <c r="A10" s="1" t="s">
        <v>174</v>
      </c>
      <c r="B10" s="86" t="n">
        <v>1240</v>
      </c>
      <c r="C10" s="1" t="n">
        <v>0</v>
      </c>
      <c r="M10" s="50" t="n">
        <f aca="false">SUM(M4:M9)-M5</f>
        <v>11850</v>
      </c>
    </row>
    <row r="11" customFormat="false" ht="12.65" hidden="false" customHeight="false" outlineLevel="0" collapsed="false">
      <c r="A11" s="1" t="s">
        <v>116</v>
      </c>
      <c r="B11" s="47" t="n">
        <v>365</v>
      </c>
      <c r="C11" s="50" t="n">
        <v>0</v>
      </c>
    </row>
    <row r="12" customFormat="false" ht="12.65" hidden="false" customHeight="false" outlineLevel="0" collapsed="false">
      <c r="A12" s="1" t="s">
        <v>175</v>
      </c>
      <c r="B12" s="47" t="n">
        <v>1000</v>
      </c>
      <c r="C12" s="1" t="n">
        <v>500</v>
      </c>
    </row>
    <row r="13" customFormat="false" ht="12.65" hidden="false" customHeight="false" outlineLevel="0" collapsed="false">
      <c r="A13" s="1" t="s">
        <v>176</v>
      </c>
      <c r="B13" s="86" t="n">
        <v>1750</v>
      </c>
      <c r="C13" s="50" t="n">
        <v>1750</v>
      </c>
    </row>
    <row r="14" customFormat="false" ht="12.65" hidden="false" customHeight="false" outlineLevel="0" collapsed="false">
      <c r="A14" s="1" t="s">
        <v>177</v>
      </c>
      <c r="B14" s="47" t="n">
        <v>2143.52</v>
      </c>
      <c r="C14" s="1" t="n">
        <v>550</v>
      </c>
    </row>
    <row r="15" customFormat="false" ht="12.65" hidden="false" customHeight="false" outlineLevel="0" collapsed="false"/>
    <row r="16" customFormat="false" ht="12.65" hidden="false" customHeight="false" outlineLevel="0" collapsed="false">
      <c r="A16" s="1" t="s">
        <v>178</v>
      </c>
      <c r="B16" s="50" t="n">
        <f aca="false">B1-SUM(B4:B14)</f>
        <v>906.48</v>
      </c>
      <c r="C16" s="65" t="n">
        <f aca="false">C1-SUM(C4:C14)</f>
        <v>2750</v>
      </c>
    </row>
    <row r="17" customFormat="false" ht="12.65" hidden="false" customHeight="false" outlineLevel="0" collapsed="false">
      <c r="C17" s="1" t="s">
        <v>179</v>
      </c>
    </row>
    <row r="1048576" customFormat="false" ht="12.8" hidden="false" customHeight="true" outlineLevel="0" collapsed="false"/>
  </sheetData>
  <mergeCells count="1">
    <mergeCell ref="A3:B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6.91"/>
    <col collapsed="false" customWidth="true" hidden="false" outlineLevel="0" max="2" min="2" style="47" width="11.54"/>
  </cols>
  <sheetData>
    <row r="1" customFormat="false" ht="12.65" hidden="false" customHeight="false" outlineLevel="0" collapsed="false">
      <c r="A1" s="1" t="s">
        <v>180</v>
      </c>
      <c r="B1" s="47" t="n">
        <v>25000</v>
      </c>
    </row>
    <row r="2" customFormat="false" ht="12.65" hidden="false" customHeight="false" outlineLevel="0" collapsed="false"/>
    <row r="3" customFormat="false" ht="12.65" hidden="false" customHeight="false" outlineLevel="0" collapsed="false">
      <c r="A3" s="1" t="s">
        <v>181</v>
      </c>
    </row>
    <row r="4" customFormat="false" ht="12.65" hidden="false" customHeight="false" outlineLevel="0" collapsed="false">
      <c r="A4" s="1" t="s">
        <v>182</v>
      </c>
      <c r="B4" s="47" t="n">
        <v>12525.58</v>
      </c>
    </row>
    <row r="5" customFormat="false" ht="12.65" hidden="false" customHeight="false" outlineLevel="0" collapsed="false">
      <c r="A5" s="1" t="s">
        <v>183</v>
      </c>
      <c r="B5" s="47" t="n">
        <f aca="false">5189.46-2649.83</f>
        <v>2539.63</v>
      </c>
    </row>
    <row r="6" customFormat="false" ht="12.65" hidden="false" customHeight="false" outlineLevel="0" collapsed="false">
      <c r="D6" s="1" t="n">
        <f aca="false">10094.79-5662.78</f>
        <v>4432.01</v>
      </c>
    </row>
    <row r="7" customFormat="false" ht="12.65" hidden="false" customHeight="false" outlineLevel="0" collapsed="false"/>
    <row r="8" customFormat="false" ht="12.65" hidden="false" customHeight="false" outlineLevel="0" collapsed="false"/>
    <row r="9" customFormat="false" ht="12.65" hidden="false" customHeight="false" outlineLevel="0" collapsed="false">
      <c r="A9" s="52" t="s">
        <v>184</v>
      </c>
      <c r="B9" s="86" t="n">
        <f aca="false">B1-SUM(B4:B8)</f>
        <v>9934.79</v>
      </c>
      <c r="D9" s="50" t="n">
        <f aca="false">9994.79-B9</f>
        <v>60</v>
      </c>
    </row>
    <row r="10" customFormat="false" ht="12.65" hidden="false" customHeight="false" outlineLevel="0" collapsed="false"/>
    <row r="11" customFormat="false" ht="12.65" hidden="false" customHeight="false" outlineLevel="0" collapsed="false">
      <c r="A11" s="1" t="s">
        <v>185</v>
      </c>
    </row>
    <row r="12" customFormat="false" ht="12.65" hidden="false" customHeight="false" outlineLevel="0" collapsed="false">
      <c r="A12" s="1" t="s">
        <v>186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4.63"/>
  </cols>
  <sheetData>
    <row r="1" customFormat="false" ht="12.65" hidden="false" customHeight="false" outlineLevel="0" collapsed="false">
      <c r="A1" s="1" t="s">
        <v>187</v>
      </c>
      <c r="B1" s="1" t="n">
        <v>14386</v>
      </c>
    </row>
    <row r="2" customFormat="false" ht="12.65" hidden="false" customHeight="false" outlineLevel="0" collapsed="false">
      <c r="A2" s="1" t="s">
        <v>188</v>
      </c>
      <c r="B2" s="1" t="n">
        <f aca="false">16499-B1</f>
        <v>2113</v>
      </c>
      <c r="C2" s="1" t="n">
        <f aca="false">B2+B17</f>
        <v>9091</v>
      </c>
    </row>
    <row r="3" customFormat="false" ht="12.65" hidden="false" customHeight="false" outlineLevel="0" collapsed="false">
      <c r="A3" s="1" t="s">
        <v>189</v>
      </c>
      <c r="B3" s="1" t="n">
        <v>2220</v>
      </c>
    </row>
    <row r="4" customFormat="false" ht="12.65" hidden="false" customHeight="false" outlineLevel="0" collapsed="false">
      <c r="A4" s="1" t="s">
        <v>190</v>
      </c>
    </row>
    <row r="5" customFormat="false" ht="12.65" hidden="false" customHeight="false" outlineLevel="0" collapsed="false">
      <c r="A5" s="1" t="s">
        <v>191</v>
      </c>
      <c r="B5" s="1" t="n">
        <v>2780</v>
      </c>
    </row>
    <row r="6" customFormat="false" ht="12.65" hidden="false" customHeight="false" outlineLevel="0" collapsed="false">
      <c r="B6" s="51" t="n">
        <f aca="false">SUM(B3:B5)</f>
        <v>5000</v>
      </c>
    </row>
    <row r="7" customFormat="false" ht="12.65" hidden="false" customHeight="false" outlineLevel="0" collapsed="false">
      <c r="A7" s="1" t="s">
        <v>160</v>
      </c>
    </row>
    <row r="8" customFormat="false" ht="12.65" hidden="false" customHeight="false" outlineLevel="0" collapsed="false">
      <c r="A8" s="1" t="s">
        <v>192</v>
      </c>
      <c r="B8" s="1" t="n">
        <v>4000</v>
      </c>
    </row>
    <row r="9" customFormat="false" ht="12.65" hidden="false" customHeight="false" outlineLevel="0" collapsed="false">
      <c r="A9" s="1" t="s">
        <v>193</v>
      </c>
      <c r="B9" s="87" t="n">
        <v>1750</v>
      </c>
    </row>
    <row r="10" customFormat="false" ht="12.65" hidden="false" customHeight="false" outlineLevel="0" collapsed="false">
      <c r="A10" s="1" t="s">
        <v>113</v>
      </c>
      <c r="B10" s="1" t="n">
        <v>1000</v>
      </c>
      <c r="C10" s="1" t="s">
        <v>194</v>
      </c>
    </row>
    <row r="11" customFormat="false" ht="12.65" hidden="false" customHeight="false" outlineLevel="0" collapsed="false">
      <c r="A11" s="1" t="s">
        <v>195</v>
      </c>
      <c r="B11" s="87" t="n">
        <v>6553</v>
      </c>
    </row>
    <row r="12" customFormat="false" ht="12.65" hidden="false" customHeight="false" outlineLevel="0" collapsed="false">
      <c r="A12" s="1" t="s">
        <v>175</v>
      </c>
      <c r="B12" s="88" t="n">
        <v>0</v>
      </c>
    </row>
    <row r="13" customFormat="false" ht="12.65" hidden="false" customHeight="false" outlineLevel="0" collapsed="false">
      <c r="A13" s="1" t="s">
        <v>116</v>
      </c>
      <c r="B13" s="88" t="n">
        <v>365</v>
      </c>
    </row>
    <row r="14" customFormat="false" ht="12.65" hidden="false" customHeight="false" outlineLevel="0" collapsed="false">
      <c r="A14" s="1" t="s">
        <v>196</v>
      </c>
      <c r="B14" s="88" t="n">
        <v>40</v>
      </c>
    </row>
    <row r="15" customFormat="false" ht="12.65" hidden="false" customHeight="false" outlineLevel="0" collapsed="false">
      <c r="A15" s="1" t="s">
        <v>169</v>
      </c>
      <c r="B15" s="88" t="n">
        <v>450</v>
      </c>
    </row>
    <row r="16" customFormat="false" ht="12.65" hidden="false" customHeight="false" outlineLevel="0" collapsed="false">
      <c r="B16" s="1" t="n">
        <f aca="false">SUM(B11:B15)</f>
        <v>7408</v>
      </c>
    </row>
    <row r="17" customFormat="false" ht="12.65" hidden="false" customHeight="false" outlineLevel="0" collapsed="false">
      <c r="B17" s="1" t="n">
        <f aca="false">B1-B16</f>
        <v>6978</v>
      </c>
    </row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  <col collapsed="false" customWidth="true" hidden="false" outlineLevel="0" max="3" min="3" style="1" width="17.63"/>
    <col collapsed="false" customWidth="true" hidden="false" outlineLevel="0" max="4" min="4" style="1" width="16.36"/>
    <col collapsed="false" customWidth="true" hidden="false" outlineLevel="0" max="8" min="8" style="1" width="14.91"/>
  </cols>
  <sheetData>
    <row r="1" customFormat="false" ht="12.65" hidden="false" customHeight="false" outlineLevel="0" collapsed="false">
      <c r="A1" s="1" t="s">
        <v>197</v>
      </c>
      <c r="B1" s="1" t="n">
        <v>11160</v>
      </c>
      <c r="C1" s="1" t="s">
        <v>198</v>
      </c>
      <c r="D1" s="88" t="n">
        <v>8429.81</v>
      </c>
    </row>
    <row r="2" customFormat="false" ht="12.65" hidden="false" customHeight="false" outlineLevel="0" collapsed="false">
      <c r="C2" s="51" t="s">
        <v>199</v>
      </c>
      <c r="D2" s="1" t="n">
        <f aca="false">D1+1000+2000</f>
        <v>11429.81</v>
      </c>
    </row>
    <row r="3" customFormat="false" ht="12.65" hidden="false" customHeight="false" outlineLevel="0" collapsed="false">
      <c r="C3" s="1" t="s">
        <v>200</v>
      </c>
      <c r="D3" s="1" t="s">
        <v>201</v>
      </c>
      <c r="E3" s="1" t="s">
        <v>202</v>
      </c>
    </row>
    <row r="4" customFormat="false" ht="12.65" hidden="false" customHeight="false" outlineLevel="0" collapsed="false">
      <c r="C4" s="1" t="n">
        <f aca="false">$B$1*0.4</f>
        <v>4464</v>
      </c>
      <c r="D4" s="1" t="n">
        <f aca="false">$B$1*0.4</f>
        <v>4464</v>
      </c>
      <c r="E4" s="1" t="n">
        <f aca="false">B1*0.2</f>
        <v>2232</v>
      </c>
    </row>
    <row r="5" customFormat="false" ht="12.65" hidden="false" customHeight="false" outlineLevel="0" collapsed="false"/>
    <row r="6" customFormat="false" ht="12.65" hidden="false" customHeight="false" outlineLevel="0" collapsed="false">
      <c r="A6" s="89" t="s">
        <v>84</v>
      </c>
      <c r="B6" s="89"/>
    </row>
    <row r="7" customFormat="false" ht="12.65" hidden="false" customHeight="false" outlineLevel="0" collapsed="false">
      <c r="A7" s="1" t="s">
        <v>113</v>
      </c>
      <c r="B7" s="51" t="n">
        <v>1000</v>
      </c>
      <c r="C7" s="1" t="s">
        <v>203</v>
      </c>
      <c r="H7" s="1" t="s">
        <v>204</v>
      </c>
      <c r="I7" s="52" t="n">
        <f aca="false">33+590</f>
        <v>623</v>
      </c>
      <c r="J7" s="1" t="n">
        <f aca="false">I7+I11</f>
        <v>753</v>
      </c>
      <c r="L7" s="1" t="s">
        <v>205</v>
      </c>
    </row>
    <row r="8" customFormat="false" ht="12.65" hidden="false" customHeight="false" outlineLevel="0" collapsed="false">
      <c r="A8" s="1" t="s">
        <v>206</v>
      </c>
      <c r="B8" s="1" t="n">
        <v>1000</v>
      </c>
      <c r="C8" s="90" t="n">
        <v>500</v>
      </c>
    </row>
    <row r="9" customFormat="false" ht="12.65" hidden="false" customHeight="false" outlineLevel="0" collapsed="false">
      <c r="A9" s="1" t="s">
        <v>207</v>
      </c>
      <c r="B9" s="1" t="n">
        <v>2500</v>
      </c>
      <c r="C9" s="1" t="s">
        <v>208</v>
      </c>
    </row>
    <row r="10" customFormat="false" ht="12.65" hidden="false" customHeight="false" outlineLevel="0" collapsed="false">
      <c r="A10" s="1" t="s">
        <v>209</v>
      </c>
      <c r="B10" s="1" t="n">
        <v>1000</v>
      </c>
      <c r="C10" s="90" t="n">
        <v>500</v>
      </c>
      <c r="L10" s="1" t="s">
        <v>210</v>
      </c>
    </row>
    <row r="11" customFormat="false" ht="12.65" hidden="false" customHeight="false" outlineLevel="0" collapsed="false">
      <c r="A11" s="1" t="s">
        <v>211</v>
      </c>
      <c r="B11" s="51" t="n">
        <f aca="false">2291/2</f>
        <v>1145.5</v>
      </c>
      <c r="C11" s="1" t="s">
        <v>212</v>
      </c>
      <c r="H11" s="1" t="s">
        <v>213</v>
      </c>
      <c r="I11" s="1" t="n">
        <v>130</v>
      </c>
    </row>
    <row r="12" customFormat="false" ht="12.65" hidden="false" customHeight="false" outlineLevel="0" collapsed="false">
      <c r="A12" s="1" t="s">
        <v>214</v>
      </c>
      <c r="B12" s="51" t="n">
        <f aca="false">15+369+200</f>
        <v>584</v>
      </c>
      <c r="C12" s="1" t="s">
        <v>215</v>
      </c>
    </row>
    <row r="13" customFormat="false" ht="12.65" hidden="false" customHeight="false" outlineLevel="0" collapsed="false">
      <c r="A13" s="1" t="s">
        <v>112</v>
      </c>
      <c r="B13" s="1" t="n">
        <v>500</v>
      </c>
      <c r="C13" s="1" t="s">
        <v>216</v>
      </c>
    </row>
    <row r="14" customFormat="false" ht="12.65" hidden="false" customHeight="false" outlineLevel="0" collapsed="false">
      <c r="A14" s="1" t="s">
        <v>117</v>
      </c>
      <c r="B14" s="51" t="n">
        <v>1750</v>
      </c>
    </row>
    <row r="15" customFormat="false" ht="12.65" hidden="false" customHeight="false" outlineLevel="0" collapsed="false"/>
    <row r="16" customFormat="false" ht="12.65" hidden="false" customHeight="false" outlineLevel="0" collapsed="false">
      <c r="A16" s="91" t="s">
        <v>217</v>
      </c>
      <c r="B16" s="91" t="n">
        <f aca="false">SUM(B7:B13)</f>
        <v>7729.5</v>
      </c>
      <c r="C16" s="92" t="s">
        <v>218</v>
      </c>
      <c r="D16" s="92" t="n">
        <f aca="false">D2-B16</f>
        <v>3700.31</v>
      </c>
    </row>
    <row r="17" customFormat="false" ht="12.65" hidden="false" customHeight="false" outlineLevel="0" collapsed="false">
      <c r="H17" s="1" t="s">
        <v>219</v>
      </c>
    </row>
    <row r="18" customFormat="false" ht="12.65" hidden="false" customHeight="false" outlineLevel="0" collapsed="false">
      <c r="C18" s="1" t="s">
        <v>220</v>
      </c>
      <c r="D18" s="1" t="n">
        <f aca="false">D16-E4</f>
        <v>1468.31</v>
      </c>
      <c r="H18" s="1" t="s">
        <v>221</v>
      </c>
    </row>
    <row r="19" customFormat="false" ht="12.65" hidden="false" customHeight="false" outlineLevel="0" collapsed="false">
      <c r="H19" s="1" t="s">
        <v>222</v>
      </c>
    </row>
    <row r="20" customFormat="false" ht="12.65" hidden="false" customHeight="false" outlineLevel="0" collapsed="false">
      <c r="H20" s="1" t="s">
        <v>223</v>
      </c>
    </row>
  </sheetData>
  <mergeCells count="1"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</cols>
  <sheetData>
    <row r="1" customFormat="false" ht="12.65" hidden="false" customHeight="false" outlineLevel="0" collapsed="false">
      <c r="A1" s="1" t="s">
        <v>197</v>
      </c>
      <c r="B1" s="1" t="n">
        <v>11869</v>
      </c>
    </row>
    <row r="2" customFormat="false" ht="12.65" hidden="false" customHeight="false" outlineLevel="0" collapsed="false">
      <c r="A2" s="1" t="s">
        <v>224</v>
      </c>
      <c r="B2" s="1" t="n">
        <v>0</v>
      </c>
    </row>
    <row r="3" customFormat="false" ht="12.65" hidden="false" customHeight="false" outlineLevel="0" collapsed="false">
      <c r="A3" s="1" t="s">
        <v>225</v>
      </c>
      <c r="B3" s="1" t="n">
        <v>809</v>
      </c>
    </row>
    <row r="4" customFormat="false" ht="12.65" hidden="false" customHeight="false" outlineLevel="0" collapsed="false">
      <c r="B4" s="1" t="n">
        <f aca="false">B1+B3</f>
        <v>12678</v>
      </c>
    </row>
    <row r="5" customFormat="false" ht="12.65" hidden="false" customHeight="false" outlineLevel="0" collapsed="false"/>
    <row r="6" customFormat="false" ht="12.65" hidden="false" customHeight="false" outlineLevel="0" collapsed="false">
      <c r="A6" s="89" t="s">
        <v>226</v>
      </c>
      <c r="B6" s="89"/>
      <c r="C6" s="1" t="s">
        <v>227</v>
      </c>
      <c r="D6" s="1" t="s">
        <v>228</v>
      </c>
    </row>
    <row r="7" customFormat="false" ht="12.65" hidden="false" customHeight="false" outlineLevel="0" collapsed="false">
      <c r="A7" s="1" t="s">
        <v>206</v>
      </c>
      <c r="B7" s="1" t="n">
        <v>900</v>
      </c>
      <c r="C7" s="1" t="n">
        <v>400</v>
      </c>
      <c r="D7" s="1" t="n">
        <v>500</v>
      </c>
      <c r="F7" s="1" t="s">
        <v>183</v>
      </c>
    </row>
    <row r="8" customFormat="false" ht="12.65" hidden="false" customHeight="false" outlineLevel="0" collapsed="false">
      <c r="A8" s="1" t="s">
        <v>207</v>
      </c>
      <c r="B8" s="1" t="n">
        <v>3000</v>
      </c>
      <c r="C8" s="1" t="n">
        <v>1500</v>
      </c>
      <c r="D8" s="1" t="n">
        <v>1500</v>
      </c>
      <c r="F8" s="93" t="s">
        <v>135</v>
      </c>
      <c r="G8" s="93" t="n">
        <v>5058.12</v>
      </c>
    </row>
    <row r="9" customFormat="false" ht="12.65" hidden="false" customHeight="false" outlineLevel="0" collapsed="false">
      <c r="A9" s="1" t="s">
        <v>209</v>
      </c>
      <c r="B9" s="1" t="n">
        <v>1000</v>
      </c>
      <c r="C9" s="1" t="n">
        <f aca="false">(B9/2)-313</f>
        <v>187</v>
      </c>
      <c r="D9" s="1" t="n">
        <v>500</v>
      </c>
      <c r="F9" s="93" t="s">
        <v>229</v>
      </c>
      <c r="G9" s="93" t="n">
        <v>2649.84</v>
      </c>
    </row>
    <row r="10" customFormat="false" ht="12.65" hidden="false" customHeight="false" outlineLevel="0" collapsed="false">
      <c r="A10" s="1" t="s">
        <v>112</v>
      </c>
      <c r="B10" s="1" t="n">
        <v>0</v>
      </c>
      <c r="F10" s="93" t="s">
        <v>230</v>
      </c>
      <c r="G10" s="93" t="n">
        <v>429.92</v>
      </c>
      <c r="H10" s="66" t="s">
        <v>231</v>
      </c>
    </row>
    <row r="11" customFormat="false" ht="12.65" hidden="false" customHeight="false" outlineLevel="0" collapsed="false">
      <c r="A11" s="1" t="s">
        <v>232</v>
      </c>
      <c r="B11" s="1" t="n">
        <f aca="false">H11</f>
        <v>989.18</v>
      </c>
      <c r="D11" s="1" t="n">
        <f aca="false">SUM(D7:D9)</f>
        <v>2500</v>
      </c>
      <c r="F11" s="93" t="s">
        <v>233</v>
      </c>
      <c r="G11" s="93" t="n">
        <f aca="false">G8-G9-G10</f>
        <v>1978.36</v>
      </c>
      <c r="H11" s="1" t="n">
        <f aca="false">G11/2</f>
        <v>989.18</v>
      </c>
    </row>
    <row r="12" customFormat="false" ht="12.65" hidden="false" customHeight="false" outlineLevel="0" collapsed="false">
      <c r="A12" s="1" t="s">
        <v>211</v>
      </c>
      <c r="B12" s="51" t="n">
        <v>2798.26</v>
      </c>
      <c r="I12" s="1" t="n">
        <f aca="false">5058.12-429.92</f>
        <v>4628.2</v>
      </c>
    </row>
    <row r="13" customFormat="false" ht="12.65" hidden="false" customHeight="false" outlineLevel="0" collapsed="false">
      <c r="A13" s="1" t="s">
        <v>117</v>
      </c>
      <c r="B13" s="51" t="n">
        <v>1750</v>
      </c>
    </row>
    <row r="14" customFormat="false" ht="12.65" hidden="false" customHeight="false" outlineLevel="0" collapsed="false">
      <c r="A14" s="1" t="s">
        <v>234</v>
      </c>
      <c r="B14" s="1" t="n">
        <v>500</v>
      </c>
      <c r="E14" s="1" t="n">
        <f aca="false">5229.99-D11</f>
        <v>2729.99</v>
      </c>
      <c r="F14" s="1" t="n">
        <f aca="false">E14-B11</f>
        <v>1740.81</v>
      </c>
    </row>
    <row r="15" customFormat="false" ht="12.65" hidden="false" customHeight="false" outlineLevel="0" collapsed="false">
      <c r="A15" s="91" t="s">
        <v>217</v>
      </c>
      <c r="B15" s="91" t="n">
        <f aca="false">SUM(B7:B14)</f>
        <v>10937.44</v>
      </c>
    </row>
    <row r="16" customFormat="false" ht="12.65" hidden="false" customHeight="false" outlineLevel="0" collapsed="false"/>
    <row r="17" customFormat="false" ht="12.65" hidden="false" customHeight="false" outlineLevel="0" collapsed="false">
      <c r="B17" s="94" t="n">
        <f aca="false">B4-B15</f>
        <v>1740.56</v>
      </c>
      <c r="C17" s="94"/>
      <c r="D17" s="94" t="s">
        <v>235</v>
      </c>
    </row>
  </sheetData>
  <mergeCells count="1">
    <mergeCell ref="A6:B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" activeCellId="0" sqref="H1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  <col collapsed="false" customWidth="true" hidden="false" outlineLevel="0" max="8" min="8" style="1" width="18.18"/>
  </cols>
  <sheetData>
    <row r="1" customFormat="false" ht="12.65" hidden="false" customHeight="false" outlineLevel="0" collapsed="false">
      <c r="A1" s="1" t="s">
        <v>197</v>
      </c>
      <c r="B1" s="1" t="n">
        <v>11700</v>
      </c>
      <c r="H1" s="1" t="s">
        <v>197</v>
      </c>
      <c r="I1" s="1" t="n">
        <v>11869</v>
      </c>
    </row>
    <row r="2" customFormat="false" ht="12.65" hidden="false" customHeight="false" outlineLevel="0" collapsed="false">
      <c r="A2" s="1" t="s">
        <v>225</v>
      </c>
      <c r="B2" s="1" t="n">
        <v>0</v>
      </c>
      <c r="H2" s="1" t="s">
        <v>225</v>
      </c>
      <c r="I2" s="1" t="n">
        <v>1674.37</v>
      </c>
    </row>
    <row r="3" customFormat="false" ht="12.65" hidden="false" customHeight="false" outlineLevel="0" collapsed="false"/>
    <row r="4" customFormat="false" ht="12.65" hidden="false" customHeight="false" outlineLevel="0" collapsed="false">
      <c r="B4" s="1" t="n">
        <f aca="false">B1+B2</f>
        <v>11700</v>
      </c>
      <c r="I4" s="1" t="n">
        <f aca="false">I1+I2</f>
        <v>13543.37</v>
      </c>
    </row>
    <row r="5" customFormat="false" ht="12.65" hidden="false" customHeight="false" outlineLevel="0" collapsed="false"/>
    <row r="6" customFormat="false" ht="12.65" hidden="false" customHeight="false" outlineLevel="0" collapsed="false">
      <c r="A6" s="89" t="s">
        <v>236</v>
      </c>
      <c r="B6" s="89"/>
      <c r="H6" s="95" t="s">
        <v>237</v>
      </c>
      <c r="I6" s="95"/>
    </row>
    <row r="7" customFormat="false" ht="12.65" hidden="false" customHeight="false" outlineLevel="0" collapsed="false">
      <c r="A7" s="1" t="s">
        <v>206</v>
      </c>
      <c r="B7" s="1" t="n">
        <v>900</v>
      </c>
      <c r="C7" s="1" t="n">
        <f aca="false">B7/2</f>
        <v>450</v>
      </c>
      <c r="D7" s="66" t="s">
        <v>238</v>
      </c>
      <c r="E7" s="1" t="n">
        <v>5960.78</v>
      </c>
      <c r="H7" s="1" t="s">
        <v>206</v>
      </c>
      <c r="I7" s="1" t="n">
        <v>900</v>
      </c>
    </row>
    <row r="8" customFormat="false" ht="12.65" hidden="false" customHeight="false" outlineLevel="0" collapsed="false">
      <c r="A8" s="1" t="s">
        <v>207</v>
      </c>
      <c r="B8" s="1" t="n">
        <v>3700</v>
      </c>
      <c r="C8" s="1" t="n">
        <f aca="false">B8/2</f>
        <v>1850</v>
      </c>
      <c r="H8" s="1" t="s">
        <v>207</v>
      </c>
      <c r="I8" s="1" t="n">
        <v>4000</v>
      </c>
    </row>
    <row r="9" customFormat="false" ht="12.65" hidden="false" customHeight="false" outlineLevel="0" collapsed="false">
      <c r="A9" s="1" t="s">
        <v>209</v>
      </c>
      <c r="B9" s="1" t="n">
        <v>1000</v>
      </c>
      <c r="C9" s="1" t="n">
        <f aca="false">B9/2</f>
        <v>500</v>
      </c>
      <c r="D9" s="1" t="s">
        <v>239</v>
      </c>
      <c r="H9" s="1" t="s">
        <v>209</v>
      </c>
      <c r="I9" s="1" t="n">
        <v>1000</v>
      </c>
    </row>
    <row r="10" customFormat="false" ht="12.65" hidden="false" customHeight="false" outlineLevel="0" collapsed="false">
      <c r="A10" s="1" t="s">
        <v>211</v>
      </c>
      <c r="B10" s="1" t="n">
        <v>0</v>
      </c>
      <c r="D10" s="1" t="n">
        <f aca="false">B7+B8+B9+B14</f>
        <v>7600</v>
      </c>
      <c r="H10" s="1" t="s">
        <v>211</v>
      </c>
      <c r="I10" s="1" t="n">
        <v>0</v>
      </c>
    </row>
    <row r="11" customFormat="false" ht="12.65" hidden="false" customHeight="false" outlineLevel="0" collapsed="false">
      <c r="A11" s="1" t="s">
        <v>232</v>
      </c>
      <c r="B11" s="1" t="n">
        <f aca="false">'Q2-Feb'!H11</f>
        <v>989.18</v>
      </c>
      <c r="E11" s="1" t="n">
        <f aca="false">'Q2-Feb'!B17+B17</f>
        <v>2601.38</v>
      </c>
      <c r="H11" s="1" t="s">
        <v>232</v>
      </c>
      <c r="I11" s="1" t="n">
        <v>0</v>
      </c>
    </row>
    <row r="12" customFormat="false" ht="12.65" hidden="false" customHeight="false" outlineLevel="0" collapsed="false">
      <c r="A12" s="1" t="s">
        <v>112</v>
      </c>
      <c r="B12" s="1" t="n">
        <v>500</v>
      </c>
      <c r="D12" s="1" t="s">
        <v>240</v>
      </c>
      <c r="H12" s="1" t="s">
        <v>112</v>
      </c>
      <c r="I12" s="1" t="n">
        <v>500</v>
      </c>
    </row>
    <row r="13" customFormat="false" ht="12.65" hidden="false" customHeight="false" outlineLevel="0" collapsed="false">
      <c r="A13" s="1" t="s">
        <v>117</v>
      </c>
      <c r="B13" s="1" t="n">
        <v>1750</v>
      </c>
      <c r="H13" s="1" t="s">
        <v>117</v>
      </c>
      <c r="I13" s="1" t="n">
        <v>1750</v>
      </c>
    </row>
    <row r="14" customFormat="false" ht="12.65" hidden="false" customHeight="false" outlineLevel="0" collapsed="false">
      <c r="A14" s="1" t="s">
        <v>241</v>
      </c>
      <c r="B14" s="1" t="n">
        <v>2000</v>
      </c>
    </row>
    <row r="15" customFormat="false" ht="12.65" hidden="false" customHeight="false" outlineLevel="0" collapsed="false">
      <c r="A15" s="91" t="s">
        <v>217</v>
      </c>
      <c r="B15" s="91" t="n">
        <f aca="false">SUM(B7:B14)</f>
        <v>10839.18</v>
      </c>
      <c r="H15" s="91" t="s">
        <v>217</v>
      </c>
      <c r="I15" s="91" t="n">
        <f aca="false">SUM(I7:I14)</f>
        <v>8150</v>
      </c>
    </row>
    <row r="16" customFormat="false" ht="12.65" hidden="false" customHeight="false" outlineLevel="0" collapsed="false"/>
    <row r="17" customFormat="false" ht="12.65" hidden="false" customHeight="false" outlineLevel="0" collapsed="false">
      <c r="B17" s="1" t="n">
        <f aca="false">B4-B15</f>
        <v>860.82</v>
      </c>
      <c r="H17" s="96" t="s">
        <v>242</v>
      </c>
      <c r="I17" s="96" t="n">
        <f aca="false">I4-I15</f>
        <v>5393.37</v>
      </c>
      <c r="K17" s="66" t="s">
        <v>243</v>
      </c>
    </row>
  </sheetData>
  <mergeCells count="2">
    <mergeCell ref="A6:B6"/>
    <mergeCell ref="H6:I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</cols>
  <sheetData>
    <row r="1" customFormat="false" ht="12.65" hidden="false" customHeight="false" outlineLevel="0" collapsed="false">
      <c r="A1" s="1" t="s">
        <v>197</v>
      </c>
      <c r="B1" s="1" t="n">
        <v>11786.78</v>
      </c>
    </row>
    <row r="2" customFormat="false" ht="12.65" hidden="false" customHeight="false" outlineLevel="0" collapsed="false">
      <c r="A2" s="1" t="s">
        <v>225</v>
      </c>
      <c r="B2" s="1" t="n">
        <v>3500</v>
      </c>
    </row>
    <row r="3" customFormat="false" ht="12.65" hidden="false" customHeight="false" outlineLevel="0" collapsed="false"/>
    <row r="4" customFormat="false" ht="12.65" hidden="false" customHeight="false" outlineLevel="0" collapsed="false">
      <c r="A4" s="95" t="s">
        <v>237</v>
      </c>
      <c r="B4" s="95"/>
      <c r="D4" s="1" t="s">
        <v>244</v>
      </c>
    </row>
    <row r="5" customFormat="false" ht="12.65" hidden="false" customHeight="false" outlineLevel="0" collapsed="false">
      <c r="A5" s="1" t="s">
        <v>206</v>
      </c>
      <c r="B5" s="1" t="n">
        <v>1000</v>
      </c>
      <c r="C5" s="1" t="n">
        <f aca="false">B5+D6+B7+E6</f>
        <v>4800</v>
      </c>
    </row>
    <row r="6" customFormat="false" ht="12.65" hidden="false" customHeight="false" outlineLevel="0" collapsed="false">
      <c r="A6" s="1" t="s">
        <v>207</v>
      </c>
      <c r="B6" s="1" t="n">
        <v>4000</v>
      </c>
      <c r="D6" s="1" t="n">
        <v>800</v>
      </c>
      <c r="E6" s="1" t="n">
        <v>2000</v>
      </c>
    </row>
    <row r="7" customFormat="false" ht="12.65" hidden="false" customHeight="false" outlineLevel="0" collapsed="false">
      <c r="A7" s="1" t="s">
        <v>209</v>
      </c>
      <c r="B7" s="1" t="n">
        <v>1000</v>
      </c>
    </row>
    <row r="8" customFormat="false" ht="12.65" hidden="false" customHeight="false" outlineLevel="0" collapsed="false">
      <c r="A8" s="1" t="s">
        <v>211</v>
      </c>
      <c r="B8" s="51" t="n">
        <v>3000</v>
      </c>
    </row>
    <row r="9" customFormat="false" ht="12.65" hidden="false" customHeight="false" outlineLevel="0" collapsed="false">
      <c r="A9" s="1" t="s">
        <v>232</v>
      </c>
      <c r="B9" s="51" t="n">
        <v>1000</v>
      </c>
    </row>
    <row r="10" customFormat="false" ht="12.65" hidden="false" customHeight="false" outlineLevel="0" collapsed="false">
      <c r="A10" s="1" t="s">
        <v>112</v>
      </c>
      <c r="B10" s="1" t="n">
        <v>1000</v>
      </c>
    </row>
    <row r="11" customFormat="false" ht="12.65" hidden="false" customHeight="false" outlineLevel="0" collapsed="false">
      <c r="A11" s="1" t="s">
        <v>117</v>
      </c>
      <c r="B11" s="51" t="n">
        <v>1750</v>
      </c>
      <c r="H11" s="1" t="n">
        <f aca="false">9204-F13</f>
        <v>7204</v>
      </c>
    </row>
    <row r="12" customFormat="false" ht="12.65" hidden="false" customHeight="false" outlineLevel="0" collapsed="false">
      <c r="A12" s="1" t="s">
        <v>245</v>
      </c>
      <c r="B12" s="51" t="n">
        <v>500</v>
      </c>
      <c r="E12" s="1" t="n">
        <v>6000</v>
      </c>
      <c r="F12" s="1" t="n">
        <f aca="false">5058-2649</f>
        <v>2409</v>
      </c>
    </row>
    <row r="13" customFormat="false" ht="12.65" hidden="false" customHeight="false" outlineLevel="0" collapsed="false">
      <c r="F13" s="1" t="n">
        <v>2000</v>
      </c>
    </row>
    <row r="14" customFormat="false" ht="12.65" hidden="false" customHeight="false" outlineLevel="0" collapsed="false">
      <c r="A14" s="1" t="s">
        <v>246</v>
      </c>
      <c r="B14" s="1" t="n">
        <f aca="false">SUM(B5:B12)</f>
        <v>13250</v>
      </c>
    </row>
    <row r="15" customFormat="false" ht="12.65" hidden="false" customHeight="false" outlineLevel="0" collapsed="false">
      <c r="F15" s="1" t="n">
        <f aca="false">E12-F12-F13</f>
        <v>1591</v>
      </c>
    </row>
    <row r="16" customFormat="false" ht="12.65" hidden="false" customHeight="false" outlineLevel="0" collapsed="false">
      <c r="B16" s="1" t="n">
        <f aca="false">B1+B2-B14</f>
        <v>2036.78</v>
      </c>
    </row>
  </sheetData>
  <mergeCells count="1">
    <mergeCell ref="A4:B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0.36"/>
    <col collapsed="false" customWidth="true" hidden="false" outlineLevel="0" max="3" min="3" style="1" width="19.63"/>
  </cols>
  <sheetData>
    <row r="1" customFormat="false" ht="12.65" hidden="false" customHeight="false" outlineLevel="0" collapsed="false">
      <c r="A1" s="1" t="s">
        <v>197</v>
      </c>
      <c r="B1" s="1" t="n">
        <v>11783.9</v>
      </c>
    </row>
    <row r="2" customFormat="false" ht="12.65" hidden="false" customHeight="false" outlineLevel="0" collapsed="false">
      <c r="A2" s="1" t="s">
        <v>225</v>
      </c>
      <c r="B2" s="1" t="n">
        <v>2000</v>
      </c>
    </row>
    <row r="3" customFormat="false" ht="12.65" hidden="false" customHeight="false" outlineLevel="0" collapsed="false">
      <c r="A3" s="1" t="s">
        <v>247</v>
      </c>
      <c r="B3" s="1" t="n">
        <v>312</v>
      </c>
    </row>
    <row r="4" customFormat="false" ht="12.65" hidden="false" customHeight="false" outlineLevel="0" collapsed="false">
      <c r="A4" s="1" t="s">
        <v>248</v>
      </c>
      <c r="B4" s="1" t="n">
        <v>763</v>
      </c>
    </row>
    <row r="5" customFormat="false" ht="12.65" hidden="false" customHeight="false" outlineLevel="0" collapsed="false">
      <c r="A5" s="95" t="s">
        <v>237</v>
      </c>
      <c r="B5" s="95"/>
    </row>
    <row r="6" customFormat="false" ht="12.65" hidden="false" customHeight="false" outlineLevel="0" collapsed="false">
      <c r="A6" s="1" t="s">
        <v>206</v>
      </c>
      <c r="B6" s="1" t="n">
        <v>0</v>
      </c>
    </row>
    <row r="7" customFormat="false" ht="12.65" hidden="false" customHeight="false" outlineLevel="0" collapsed="false">
      <c r="A7" s="97" t="s">
        <v>207</v>
      </c>
      <c r="B7" s="97" t="n">
        <v>3000</v>
      </c>
      <c r="C7" s="1" t="s">
        <v>249</v>
      </c>
      <c r="E7" s="1" t="n">
        <f aca="false">B7+B8+B10</f>
        <v>4300</v>
      </c>
    </row>
    <row r="8" customFormat="false" ht="12.65" hidden="false" customHeight="false" outlineLevel="0" collapsed="false">
      <c r="A8" s="97" t="s">
        <v>209</v>
      </c>
      <c r="B8" s="97" t="n">
        <v>300</v>
      </c>
    </row>
    <row r="9" customFormat="false" ht="12.65" hidden="false" customHeight="false" outlineLevel="0" collapsed="false">
      <c r="A9" s="1" t="s">
        <v>117</v>
      </c>
      <c r="B9" s="1" t="n">
        <v>1750</v>
      </c>
    </row>
    <row r="10" customFormat="false" ht="12.65" hidden="false" customHeight="false" outlineLevel="0" collapsed="false">
      <c r="A10" s="97" t="s">
        <v>112</v>
      </c>
      <c r="B10" s="97" t="n">
        <v>1000</v>
      </c>
    </row>
    <row r="11" customFormat="false" ht="12.65" hidden="false" customHeight="false" outlineLevel="0" collapsed="false">
      <c r="A11" s="1" t="s">
        <v>116</v>
      </c>
      <c r="B11" s="1" t="n">
        <f aca="false">299+1165</f>
        <v>1464</v>
      </c>
    </row>
    <row r="12" customFormat="false" ht="12.65" hidden="false" customHeight="false" outlineLevel="0" collapsed="false">
      <c r="A12" s="1" t="s">
        <v>211</v>
      </c>
      <c r="B12" s="1" t="n">
        <v>500</v>
      </c>
    </row>
    <row r="13" customFormat="false" ht="12.65" hidden="false" customHeight="false" outlineLevel="0" collapsed="false">
      <c r="A13" s="1" t="s">
        <v>232</v>
      </c>
      <c r="B13" s="1" t="n">
        <v>2500</v>
      </c>
    </row>
    <row r="14" customFormat="false" ht="12.65" hidden="false" customHeight="false" outlineLevel="0" collapsed="false"/>
    <row r="15" customFormat="false" ht="12.65" hidden="false" customHeight="false" outlineLevel="0" collapsed="false">
      <c r="A15" s="1" t="s">
        <v>250</v>
      </c>
      <c r="C15" s="1" t="n">
        <f aca="false">1610+23</f>
        <v>1633</v>
      </c>
      <c r="D15" s="1" t="s">
        <v>251</v>
      </c>
    </row>
    <row r="16" customFormat="false" ht="12.65" hidden="false" customHeight="false" outlineLevel="0" collapsed="false"/>
    <row r="17" customFormat="false" ht="12.65" hidden="false" customHeight="false" outlineLevel="0" collapsed="false"/>
    <row r="18" customFormat="false" ht="12.65" hidden="false" customHeight="false" outlineLevel="0" collapsed="false">
      <c r="A18" s="1" t="s">
        <v>246</v>
      </c>
      <c r="B18" s="1" t="n">
        <f aca="false">SUM(B6:B16)</f>
        <v>10514</v>
      </c>
    </row>
    <row r="19" customFormat="false" ht="12.65" hidden="false" customHeight="false" outlineLevel="0" collapsed="false"/>
    <row r="20" customFormat="false" ht="12.65" hidden="false" customHeight="false" outlineLevel="0" collapsed="false">
      <c r="A20" s="1" t="s">
        <v>252</v>
      </c>
      <c r="B20" s="1" t="n">
        <f aca="false">B1+B2+C15-B18</f>
        <v>4902.9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0.36"/>
    <col collapsed="false" customWidth="true" hidden="false" outlineLevel="0" max="3" min="3" style="1" width="19.63"/>
  </cols>
  <sheetData>
    <row r="1" customFormat="false" ht="12.65" hidden="false" customHeight="false" outlineLevel="0" collapsed="false">
      <c r="A1" s="1" t="s">
        <v>197</v>
      </c>
      <c r="B1" s="1" t="n">
        <v>11850</v>
      </c>
    </row>
    <row r="2" customFormat="false" ht="12.65" hidden="false" customHeight="false" outlineLevel="0" collapsed="false">
      <c r="A2" s="1" t="s">
        <v>225</v>
      </c>
      <c r="B2" s="1" t="n">
        <v>1116.6</v>
      </c>
    </row>
    <row r="3" customFormat="false" ht="12.65" hidden="false" customHeight="false" outlineLevel="0" collapsed="false">
      <c r="A3" s="1" t="s">
        <v>248</v>
      </c>
      <c r="B3" s="1" t="n">
        <v>763</v>
      </c>
    </row>
    <row r="4" customFormat="false" ht="12.65" hidden="false" customHeight="false" outlineLevel="0" collapsed="false">
      <c r="A4" s="1" t="s">
        <v>253</v>
      </c>
      <c r="B4" s="1" t="n">
        <v>2250</v>
      </c>
      <c r="C4" s="1" t="n">
        <v>3000</v>
      </c>
    </row>
    <row r="5" customFormat="false" ht="12.65" hidden="false" customHeight="false" outlineLevel="0" collapsed="false">
      <c r="A5" s="95" t="s">
        <v>84</v>
      </c>
      <c r="B5" s="95"/>
    </row>
    <row r="6" customFormat="false" ht="12.65" hidden="false" customHeight="false" outlineLevel="0" collapsed="false">
      <c r="A6" s="1" t="s">
        <v>206</v>
      </c>
      <c r="B6" s="1" t="n">
        <v>800</v>
      </c>
    </row>
    <row r="7" customFormat="false" ht="12.65" hidden="false" customHeight="false" outlineLevel="0" collapsed="false">
      <c r="A7" s="97" t="s">
        <v>207</v>
      </c>
      <c r="B7" s="97" t="n">
        <v>4000</v>
      </c>
      <c r="E7" s="1" t="n">
        <f aca="false">B7+B8+B10</f>
        <v>5000</v>
      </c>
    </row>
    <row r="8" customFormat="false" ht="12.65" hidden="false" customHeight="false" outlineLevel="0" collapsed="false">
      <c r="A8" s="97" t="s">
        <v>209</v>
      </c>
      <c r="B8" s="97" t="n">
        <v>0</v>
      </c>
    </row>
    <row r="9" customFormat="false" ht="12.65" hidden="false" customHeight="false" outlineLevel="0" collapsed="false">
      <c r="A9" s="98" t="s">
        <v>117</v>
      </c>
      <c r="B9" s="98" t="n">
        <v>1750</v>
      </c>
      <c r="C9" s="1" t="n">
        <f aca="false">B9+B6+B7+B12</f>
        <v>7800</v>
      </c>
    </row>
    <row r="10" customFormat="false" ht="12.65" hidden="false" customHeight="false" outlineLevel="0" collapsed="false">
      <c r="A10" s="97" t="s">
        <v>112</v>
      </c>
      <c r="B10" s="97" t="n">
        <v>1000</v>
      </c>
    </row>
    <row r="11" customFormat="false" ht="12.65" hidden="false" customHeight="false" outlineLevel="0" collapsed="false">
      <c r="A11" s="98" t="s">
        <v>116</v>
      </c>
      <c r="B11" s="98" t="n">
        <v>486</v>
      </c>
    </row>
    <row r="12" customFormat="false" ht="12.65" hidden="false" customHeight="false" outlineLevel="0" collapsed="false">
      <c r="A12" s="98" t="s">
        <v>211</v>
      </c>
      <c r="B12" s="98" t="n">
        <v>1250</v>
      </c>
    </row>
    <row r="13" customFormat="false" ht="12.65" hidden="false" customHeight="false" outlineLevel="0" collapsed="false">
      <c r="A13" s="98" t="s">
        <v>232</v>
      </c>
      <c r="B13" s="98" t="n">
        <v>0</v>
      </c>
    </row>
    <row r="14" customFormat="false" ht="12.65" hidden="false" customHeight="false" outlineLevel="0" collapsed="false">
      <c r="A14" s="1" t="s">
        <v>113</v>
      </c>
      <c r="B14" s="1" t="n">
        <v>1000</v>
      </c>
    </row>
    <row r="15" customFormat="false" ht="12.65" hidden="false" customHeight="false" outlineLevel="0" collapsed="false"/>
    <row r="16" customFormat="false" ht="12.65" hidden="false" customHeight="false" outlineLevel="0" collapsed="false">
      <c r="I16" s="1" t="n">
        <f aca="false">827*2</f>
        <v>1654</v>
      </c>
    </row>
    <row r="17" customFormat="false" ht="12.65" hidden="false" customHeight="false" outlineLevel="0" collapsed="false"/>
    <row r="18" customFormat="false" ht="12.65" hidden="false" customHeight="false" outlineLevel="0" collapsed="false">
      <c r="A18" s="1" t="s">
        <v>246</v>
      </c>
      <c r="B18" s="1" t="n">
        <f aca="false">SUM(B6:B16)</f>
        <v>10286</v>
      </c>
    </row>
    <row r="19" customFormat="false" ht="12.65" hidden="false" customHeight="false" outlineLevel="0" collapsed="false"/>
    <row r="20" customFormat="false" ht="12.65" hidden="false" customHeight="false" outlineLevel="0" collapsed="false">
      <c r="A20" s="1" t="s">
        <v>252</v>
      </c>
      <c r="B20" s="1" t="n">
        <f aca="false">B1+B2-B18</f>
        <v>2680.6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0.36"/>
  </cols>
  <sheetData>
    <row r="1" customFormat="false" ht="12.65" hidden="false" customHeight="false" outlineLevel="0" collapsed="false">
      <c r="A1" s="1" t="s">
        <v>197</v>
      </c>
      <c r="B1" s="1" t="n">
        <v>11850</v>
      </c>
    </row>
    <row r="2" customFormat="false" ht="12.65" hidden="false" customHeight="false" outlineLevel="0" collapsed="false">
      <c r="A2" s="1" t="s">
        <v>225</v>
      </c>
      <c r="B2" s="1" t="n">
        <v>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84</v>
      </c>
      <c r="B5" s="95"/>
    </row>
    <row r="6" customFormat="false" ht="12.65" hidden="false" customHeight="false" outlineLevel="0" collapsed="false">
      <c r="A6" s="97" t="s">
        <v>207</v>
      </c>
      <c r="B6" s="97" t="n">
        <v>4051.29</v>
      </c>
    </row>
    <row r="7" customFormat="false" ht="12.65" hidden="false" customHeight="false" outlineLevel="0" collapsed="false">
      <c r="A7" s="98" t="s">
        <v>117</v>
      </c>
      <c r="B7" s="98" t="n">
        <v>1750</v>
      </c>
    </row>
    <row r="8" customFormat="false" ht="12.65" hidden="false" customHeight="false" outlineLevel="0" collapsed="false">
      <c r="A8" s="97" t="s">
        <v>112</v>
      </c>
      <c r="B8" s="97" t="n">
        <v>1000</v>
      </c>
    </row>
    <row r="9" customFormat="false" ht="12.65" hidden="false" customHeight="false" outlineLevel="0" collapsed="false">
      <c r="A9" s="66" t="s">
        <v>113</v>
      </c>
      <c r="B9" s="1" t="n">
        <v>1500</v>
      </c>
      <c r="D9" s="66" t="s">
        <v>254</v>
      </c>
    </row>
    <row r="10" customFormat="false" ht="12.65" hidden="false" customHeight="false" outlineLevel="0" collapsed="false">
      <c r="A10" s="66" t="s">
        <v>255</v>
      </c>
      <c r="B10" s="1" t="n">
        <v>1000</v>
      </c>
    </row>
    <row r="11" customFormat="false" ht="12.65" hidden="false" customHeight="false" outlineLevel="0" collapsed="false">
      <c r="A11" s="66" t="s">
        <v>256</v>
      </c>
      <c r="B11" s="1" t="n">
        <v>1000</v>
      </c>
    </row>
    <row r="12" customFormat="false" ht="12.65" hidden="false" customHeight="false" outlineLevel="0" collapsed="false">
      <c r="A12" s="51" t="s">
        <v>211</v>
      </c>
      <c r="B12" s="51"/>
      <c r="D12" s="66" t="s">
        <v>257</v>
      </c>
    </row>
    <row r="13" customFormat="false" ht="12.65" hidden="false" customHeight="false" outlineLevel="0" collapsed="false">
      <c r="A13" s="51" t="s">
        <v>232</v>
      </c>
      <c r="B13" s="51"/>
    </row>
    <row r="14" customFormat="false" ht="12.65" hidden="false" customHeight="false" outlineLevel="0" collapsed="false">
      <c r="A14" s="51" t="s">
        <v>116</v>
      </c>
      <c r="B14" s="51"/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/>
    <row r="18" customFormat="false" ht="12.65" hidden="false" customHeight="false" outlineLevel="0" collapsed="false">
      <c r="A18" s="1" t="s">
        <v>246</v>
      </c>
      <c r="B18" s="1" t="n">
        <f aca="false">SUM(B6:B11)</f>
        <v>10301.29</v>
      </c>
    </row>
    <row r="19" customFormat="false" ht="12.65" hidden="false" customHeight="false" outlineLevel="0" collapsed="false"/>
    <row r="20" customFormat="false" ht="12.65" hidden="false" customHeight="false" outlineLevel="0" collapsed="false">
      <c r="A20" s="51" t="s">
        <v>252</v>
      </c>
      <c r="B20" s="51" t="n">
        <f aca="false">B1+B2-B18</f>
        <v>1548.71</v>
      </c>
      <c r="C20" s="51"/>
      <c r="D20" s="99" t="s">
        <v>258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</cols>
  <sheetData>
    <row r="1" customFormat="false" ht="12.65" hidden="false" customHeight="false" outlineLevel="0" collapsed="false">
      <c r="A1" s="1" t="s">
        <v>197</v>
      </c>
      <c r="B1" s="1" t="n">
        <v>11850</v>
      </c>
    </row>
    <row r="2" customFormat="false" ht="12.65" hidden="false" customHeight="false" outlineLevel="0" collapsed="false">
      <c r="A2" s="1" t="s">
        <v>225</v>
      </c>
      <c r="B2" s="1" t="n">
        <v>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84</v>
      </c>
      <c r="B5" s="95"/>
    </row>
    <row r="6" customFormat="false" ht="12.65" hidden="false" customHeight="false" outlineLevel="0" collapsed="false">
      <c r="A6" s="97" t="s">
        <v>207</v>
      </c>
      <c r="B6" s="97" t="n">
        <v>4000</v>
      </c>
    </row>
    <row r="7" customFormat="false" ht="12.65" hidden="false" customHeight="false" outlineLevel="0" collapsed="false">
      <c r="A7" s="98" t="s">
        <v>117</v>
      </c>
      <c r="B7" s="98" t="n">
        <v>1750</v>
      </c>
    </row>
    <row r="8" customFormat="false" ht="12.65" hidden="false" customHeight="false" outlineLevel="0" collapsed="false">
      <c r="A8" s="97" t="s">
        <v>112</v>
      </c>
      <c r="B8" s="97" t="n">
        <v>1000</v>
      </c>
    </row>
    <row r="9" customFormat="false" ht="12.65" hidden="false" customHeight="false" outlineLevel="0" collapsed="false">
      <c r="A9" s="66" t="s">
        <v>113</v>
      </c>
      <c r="B9" s="1" t="n">
        <v>0</v>
      </c>
    </row>
    <row r="10" customFormat="false" ht="12.65" hidden="false" customHeight="false" outlineLevel="0" collapsed="false">
      <c r="A10" s="66"/>
    </row>
    <row r="11" customFormat="false" ht="12.65" hidden="false" customHeight="false" outlineLevel="0" collapsed="false">
      <c r="A11" s="66" t="s">
        <v>256</v>
      </c>
      <c r="B11" s="1" t="n">
        <v>0</v>
      </c>
    </row>
    <row r="12" customFormat="false" ht="12.65" hidden="false" customHeight="false" outlineLevel="0" collapsed="false">
      <c r="A12" s="51" t="s">
        <v>211</v>
      </c>
      <c r="B12" s="51"/>
      <c r="G12" s="1" t="n">
        <f aca="false">4*14</f>
        <v>56</v>
      </c>
    </row>
    <row r="13" customFormat="false" ht="12.65" hidden="false" customHeight="false" outlineLevel="0" collapsed="false">
      <c r="A13" s="51" t="s">
        <v>232</v>
      </c>
      <c r="B13" s="51"/>
    </row>
    <row r="14" customFormat="false" ht="12.65" hidden="false" customHeight="false" outlineLevel="0" collapsed="false">
      <c r="A14" s="51" t="s">
        <v>116</v>
      </c>
      <c r="B14" s="51"/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/>
    <row r="18" customFormat="false" ht="12.65" hidden="false" customHeight="false" outlineLevel="0" collapsed="false">
      <c r="A18" s="1" t="s">
        <v>246</v>
      </c>
      <c r="B18" s="1" t="n">
        <f aca="false">SUM(B6:B11)</f>
        <v>6750</v>
      </c>
    </row>
    <row r="19" customFormat="false" ht="12.65" hidden="false" customHeight="false" outlineLevel="0" collapsed="false"/>
    <row r="20" customFormat="false" ht="12.65" hidden="false" customHeight="false" outlineLevel="0" collapsed="false">
      <c r="A20" s="51" t="s">
        <v>252</v>
      </c>
      <c r="B20" s="51" t="n">
        <f aca="false">B1+B2-B18</f>
        <v>5100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</cols>
  <sheetData>
    <row r="1" customFormat="false" ht="12.65" hidden="false" customHeight="false" outlineLevel="0" collapsed="false">
      <c r="A1" s="1" t="s">
        <v>197</v>
      </c>
      <c r="B1" s="1" t="n">
        <v>11809</v>
      </c>
    </row>
    <row r="2" customFormat="false" ht="12.65" hidden="false" customHeight="false" outlineLevel="0" collapsed="false">
      <c r="A2" s="1" t="s">
        <v>225</v>
      </c>
      <c r="B2" s="1" t="n">
        <v>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84</v>
      </c>
      <c r="B5" s="95"/>
    </row>
    <row r="6" customFormat="false" ht="12.65" hidden="false" customHeight="false" outlineLevel="0" collapsed="false">
      <c r="A6" s="97" t="s">
        <v>207</v>
      </c>
      <c r="B6" s="97" t="n">
        <v>4000</v>
      </c>
    </row>
    <row r="7" customFormat="false" ht="12.65" hidden="false" customHeight="false" outlineLevel="0" collapsed="false">
      <c r="A7" s="98" t="s">
        <v>117</v>
      </c>
      <c r="B7" s="98" t="n">
        <v>1750</v>
      </c>
    </row>
    <row r="8" customFormat="false" ht="12.65" hidden="false" customHeight="false" outlineLevel="0" collapsed="false">
      <c r="A8" s="97" t="s">
        <v>112</v>
      </c>
      <c r="B8" s="97" t="n">
        <v>1200</v>
      </c>
      <c r="E8" s="1" t="s">
        <v>116</v>
      </c>
    </row>
    <row r="9" customFormat="false" ht="12.65" hidden="false" customHeight="false" outlineLevel="0" collapsed="false">
      <c r="A9" s="66" t="s">
        <v>113</v>
      </c>
      <c r="B9" s="1" t="n">
        <v>0</v>
      </c>
      <c r="E9" s="1" t="s">
        <v>259</v>
      </c>
      <c r="F9" s="1" t="n">
        <v>325</v>
      </c>
    </row>
    <row r="10" customFormat="false" ht="12.65" hidden="false" customHeight="false" outlineLevel="0" collapsed="false">
      <c r="A10" s="66"/>
      <c r="E10" s="1" t="s">
        <v>138</v>
      </c>
      <c r="F10" s="1" t="n">
        <v>140</v>
      </c>
    </row>
    <row r="11" customFormat="false" ht="12.65" hidden="false" customHeight="false" outlineLevel="0" collapsed="false">
      <c r="A11" s="66" t="s">
        <v>256</v>
      </c>
      <c r="B11" s="1" t="n">
        <v>1000</v>
      </c>
      <c r="E11" s="1" t="s">
        <v>164</v>
      </c>
      <c r="F11" s="1" t="n">
        <f aca="false">1265/2</f>
        <v>632.5</v>
      </c>
    </row>
    <row r="12" customFormat="false" ht="12.65" hidden="false" customHeight="false" outlineLevel="0" collapsed="false">
      <c r="A12" s="1" t="s">
        <v>211</v>
      </c>
      <c r="B12" s="1" t="n">
        <v>0</v>
      </c>
    </row>
    <row r="13" customFormat="false" ht="12.65" hidden="false" customHeight="false" outlineLevel="0" collapsed="false">
      <c r="A13" s="1" t="s">
        <v>232</v>
      </c>
      <c r="B13" s="1" t="n">
        <v>0</v>
      </c>
    </row>
    <row r="14" customFormat="false" ht="12.65" hidden="false" customHeight="false" outlineLevel="0" collapsed="false">
      <c r="A14" s="1" t="s">
        <v>116</v>
      </c>
      <c r="B14" s="1" t="n">
        <v>0</v>
      </c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/>
    <row r="18" customFormat="false" ht="12.65" hidden="false" customHeight="false" outlineLevel="0" collapsed="false">
      <c r="A18" s="1" t="s">
        <v>246</v>
      </c>
      <c r="B18" s="1" t="n">
        <f aca="false">SUM(B6:B14)</f>
        <v>7950</v>
      </c>
    </row>
    <row r="19" customFormat="false" ht="12.65" hidden="false" customHeight="false" outlineLevel="0" collapsed="false"/>
    <row r="20" customFormat="false" ht="12.65" hidden="false" customHeight="false" outlineLevel="0" collapsed="false">
      <c r="A20" s="1" t="s">
        <v>252</v>
      </c>
      <c r="B20" s="1" t="n">
        <f aca="false">B1+B2-B18</f>
        <v>3859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6" activeCellId="0" sqref="A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  <col collapsed="false" customWidth="true" hidden="false" outlineLevel="0" max="3" min="3" style="1" width="16.09"/>
    <col collapsed="false" customWidth="true" hidden="false" outlineLevel="0" max="7" min="7" style="1" width="22.09"/>
  </cols>
  <sheetData>
    <row r="1" customFormat="false" ht="12.65" hidden="false" customHeight="false" outlineLevel="0" collapsed="false">
      <c r="A1" s="1" t="s">
        <v>197</v>
      </c>
      <c r="B1" s="1" t="n">
        <v>12180</v>
      </c>
    </row>
    <row r="2" customFormat="false" ht="12.65" hidden="false" customHeight="false" outlineLevel="0" collapsed="false">
      <c r="A2" s="1" t="s">
        <v>225</v>
      </c>
      <c r="B2" s="1" t="n">
        <v>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84</v>
      </c>
      <c r="B5" s="95"/>
      <c r="C5" s="1" t="s">
        <v>260</v>
      </c>
      <c r="E5" s="1" t="s">
        <v>261</v>
      </c>
    </row>
    <row r="6" customFormat="false" ht="12.65" hidden="false" customHeight="false" outlineLevel="0" collapsed="false">
      <c r="A6" s="97" t="s">
        <v>207</v>
      </c>
      <c r="B6" s="97" t="n">
        <v>4000</v>
      </c>
      <c r="C6" s="1" t="n">
        <v>2000</v>
      </c>
      <c r="E6" s="1" t="n">
        <v>1100</v>
      </c>
      <c r="F6" s="1" t="n">
        <v>900</v>
      </c>
      <c r="G6" s="1" t="s">
        <v>262</v>
      </c>
    </row>
    <row r="7" customFormat="false" ht="12.65" hidden="false" customHeight="false" outlineLevel="0" collapsed="false">
      <c r="A7" s="98" t="s">
        <v>117</v>
      </c>
      <c r="B7" s="98" t="n">
        <v>1750</v>
      </c>
      <c r="C7" s="98" t="n">
        <v>1750</v>
      </c>
      <c r="E7" s="1" t="n">
        <v>0</v>
      </c>
    </row>
    <row r="8" customFormat="false" ht="12.65" hidden="false" customHeight="false" outlineLevel="0" collapsed="false">
      <c r="A8" s="97" t="s">
        <v>112</v>
      </c>
      <c r="B8" s="97" t="n">
        <v>700</v>
      </c>
      <c r="C8" s="1" t="n">
        <v>500</v>
      </c>
      <c r="E8" s="1" t="n">
        <v>0</v>
      </c>
    </row>
    <row r="9" customFormat="false" ht="12.65" hidden="false" customHeight="false" outlineLevel="0" collapsed="false">
      <c r="A9" s="66" t="s">
        <v>256</v>
      </c>
      <c r="B9" s="1" t="n">
        <v>2000</v>
      </c>
      <c r="C9" s="1" t="n">
        <v>896</v>
      </c>
      <c r="D9" s="1" t="s">
        <v>263</v>
      </c>
      <c r="E9" s="1" t="n">
        <v>1500</v>
      </c>
      <c r="G9" s="1" t="s">
        <v>264</v>
      </c>
      <c r="K9" s="1" t="s">
        <v>265</v>
      </c>
    </row>
    <row r="10" customFormat="false" ht="12.65" hidden="false" customHeight="false" outlineLevel="0" collapsed="false">
      <c r="A10" s="66" t="s">
        <v>169</v>
      </c>
      <c r="B10" s="98" t="n">
        <v>450</v>
      </c>
      <c r="C10" s="98" t="n">
        <v>450</v>
      </c>
      <c r="E10" s="1" t="n">
        <v>0</v>
      </c>
      <c r="K10" s="1" t="n">
        <v>2200</v>
      </c>
      <c r="M10" s="1" t="n">
        <v>1000</v>
      </c>
    </row>
    <row r="11" customFormat="false" ht="12.65" hidden="false" customHeight="false" outlineLevel="0" collapsed="false">
      <c r="A11" s="1" t="s">
        <v>266</v>
      </c>
      <c r="B11" s="1" t="n">
        <v>0</v>
      </c>
      <c r="E11" s="1" t="n">
        <v>0</v>
      </c>
      <c r="K11" s="1" t="n">
        <v>350</v>
      </c>
      <c r="M11" s="1" t="n">
        <v>500</v>
      </c>
    </row>
    <row r="12" customFormat="false" ht="12.65" hidden="false" customHeight="false" outlineLevel="0" collapsed="false">
      <c r="A12" s="1" t="s">
        <v>211</v>
      </c>
      <c r="B12" s="1" t="n">
        <v>0</v>
      </c>
      <c r="E12" s="1" t="n">
        <v>0</v>
      </c>
      <c r="K12" s="1" t="n">
        <v>1800</v>
      </c>
      <c r="M12" s="1" t="n">
        <v>900</v>
      </c>
    </row>
    <row r="13" customFormat="false" ht="12.65" hidden="false" customHeight="false" outlineLevel="0" collapsed="false">
      <c r="A13" s="1" t="s">
        <v>232</v>
      </c>
      <c r="B13" s="1" t="n">
        <v>0</v>
      </c>
      <c r="E13" s="1" t="n">
        <v>0</v>
      </c>
      <c r="K13" s="1" t="n">
        <f aca="false">SUM(K10:K12)</f>
        <v>4350</v>
      </c>
      <c r="M13" s="1" t="n">
        <v>1000</v>
      </c>
    </row>
    <row r="14" customFormat="false" ht="12.65" hidden="false" customHeight="false" outlineLevel="0" collapsed="false">
      <c r="A14" s="1" t="s">
        <v>116</v>
      </c>
      <c r="B14" s="98" t="n">
        <v>200</v>
      </c>
      <c r="C14" s="98" t="n">
        <v>200</v>
      </c>
      <c r="E14" s="1" t="n">
        <v>0</v>
      </c>
      <c r="M14" s="1" t="n">
        <f aca="false">SUM(M10:M13)</f>
        <v>3400</v>
      </c>
    </row>
    <row r="15" customFormat="false" ht="12.65" hidden="false" customHeight="false" outlineLevel="0" collapsed="false">
      <c r="A15" s="1" t="s">
        <v>267</v>
      </c>
      <c r="E15" s="1" t="n">
        <v>884</v>
      </c>
      <c r="G15" s="1" t="s">
        <v>268</v>
      </c>
    </row>
    <row r="16" customFormat="false" ht="12.65" hidden="false" customHeight="false" outlineLevel="0" collapsed="false">
      <c r="A16" s="1" t="s">
        <v>269</v>
      </c>
      <c r="B16" s="1" t="n">
        <v>0</v>
      </c>
    </row>
    <row r="17" customFormat="false" ht="12.65" hidden="false" customHeight="false" outlineLevel="0" collapsed="false"/>
    <row r="18" customFormat="false" ht="12.65" hidden="false" customHeight="false" outlineLevel="0" collapsed="false">
      <c r="A18" s="100" t="s">
        <v>246</v>
      </c>
      <c r="B18" s="100" t="n">
        <f aca="false">SUM(B6:B14)</f>
        <v>9100</v>
      </c>
      <c r="C18" s="100" t="n">
        <f aca="false">C6+B7+C8+C9+B10+B14</f>
        <v>5796</v>
      </c>
      <c r="D18" s="100"/>
      <c r="E18" s="100" t="n">
        <f aca="false">SUM(E6:E15)+F6</f>
        <v>4384</v>
      </c>
      <c r="K18" s="1" t="n">
        <v>5484</v>
      </c>
    </row>
    <row r="19" customFormat="false" ht="12.65" hidden="false" customHeight="false" outlineLevel="0" collapsed="false">
      <c r="L19" s="1" t="n">
        <f aca="false">K18-3100</f>
        <v>2384</v>
      </c>
    </row>
    <row r="20" customFormat="false" ht="12.65" hidden="false" customHeight="false" outlineLevel="0" collapsed="false">
      <c r="A20" s="1" t="s">
        <v>252</v>
      </c>
      <c r="B20" s="1" t="n">
        <f aca="false">B1-C18-E18</f>
        <v>2000</v>
      </c>
      <c r="G20" s="1" t="s">
        <v>270</v>
      </c>
    </row>
    <row r="21" customFormat="false" ht="12.65" hidden="false" customHeight="false" outlineLevel="0" collapsed="false"/>
    <row r="22" customFormat="false" ht="12.65" hidden="false" customHeight="false" outlineLevel="0" collapsed="false">
      <c r="K22" s="1" t="n">
        <v>6676890423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K12" activeCellId="0" sqref="K12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  <col collapsed="false" customWidth="true" hidden="false" outlineLevel="0" max="3" min="3" style="1" width="16.09"/>
    <col collapsed="false" customWidth="true" hidden="false" outlineLevel="0" max="7" min="7" style="1" width="22.09"/>
  </cols>
  <sheetData>
    <row r="1" customFormat="false" ht="12.65" hidden="false" customHeight="false" outlineLevel="0" collapsed="false">
      <c r="A1" s="1" t="s">
        <v>197</v>
      </c>
      <c r="B1" s="1" t="n">
        <f aca="false">2500+7498.51+1750</f>
        <v>11748.51</v>
      </c>
    </row>
    <row r="2" customFormat="false" ht="12.65" hidden="false" customHeight="false" outlineLevel="0" collapsed="false">
      <c r="A2" s="1" t="s">
        <v>225</v>
      </c>
      <c r="B2" s="1" t="n">
        <v>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  <c r="C5" s="1" t="s">
        <v>260</v>
      </c>
    </row>
    <row r="6" customFormat="false" ht="12.65" hidden="false" customHeight="false" outlineLevel="0" collapsed="false">
      <c r="A6" s="97" t="s">
        <v>207</v>
      </c>
      <c r="B6" s="97" t="n">
        <v>4000</v>
      </c>
    </row>
    <row r="7" customFormat="false" ht="12.65" hidden="false" customHeight="false" outlineLevel="0" collapsed="false">
      <c r="A7" s="98" t="s">
        <v>117</v>
      </c>
      <c r="B7" s="98" t="n">
        <v>1750</v>
      </c>
      <c r="C7" s="98"/>
    </row>
    <row r="8" customFormat="false" ht="12.65" hidden="false" customHeight="false" outlineLevel="0" collapsed="false">
      <c r="A8" s="97" t="s">
        <v>112</v>
      </c>
      <c r="B8" s="97" t="n">
        <v>1000</v>
      </c>
    </row>
    <row r="9" customFormat="false" ht="12.65" hidden="false" customHeight="false" outlineLevel="0" collapsed="false">
      <c r="A9" s="66" t="s">
        <v>256</v>
      </c>
      <c r="B9" s="1" t="n">
        <v>2175</v>
      </c>
      <c r="C9" s="1" t="s">
        <v>272</v>
      </c>
      <c r="K9" s="1" t="s">
        <v>265</v>
      </c>
    </row>
    <row r="10" customFormat="false" ht="12.65" hidden="false" customHeight="false" outlineLevel="0" collapsed="false">
      <c r="A10" s="66" t="s">
        <v>273</v>
      </c>
      <c r="B10" s="1" t="n">
        <v>500</v>
      </c>
      <c r="K10" s="1" t="n">
        <v>2200</v>
      </c>
      <c r="M10" s="1" t="n">
        <v>1000</v>
      </c>
    </row>
    <row r="11" customFormat="false" ht="12.65" hidden="false" customHeight="false" outlineLevel="0" collapsed="false">
      <c r="A11" s="1" t="s">
        <v>116</v>
      </c>
      <c r="B11" s="1" t="n">
        <f aca="false">81+536</f>
        <v>617</v>
      </c>
      <c r="C11" s="1" t="s">
        <v>274</v>
      </c>
      <c r="K11" s="1" t="n">
        <v>350</v>
      </c>
      <c r="M11" s="1" t="n">
        <v>500</v>
      </c>
    </row>
    <row r="12" customFormat="false" ht="12.65" hidden="false" customHeight="false" outlineLevel="0" collapsed="false">
      <c r="A12" s="1" t="s">
        <v>275</v>
      </c>
      <c r="B12" s="1" t="n">
        <f aca="false">180.58+1403.88</f>
        <v>1584.46</v>
      </c>
      <c r="C12" s="1" t="s">
        <v>276</v>
      </c>
      <c r="K12" s="1" t="n">
        <v>1800</v>
      </c>
      <c r="M12" s="1" t="n">
        <v>900</v>
      </c>
    </row>
    <row r="13" customFormat="false" ht="12.65" hidden="false" customHeight="false" outlineLevel="0" collapsed="false">
      <c r="J13" s="1" t="n">
        <f aca="false">K13/2</f>
        <v>2175</v>
      </c>
      <c r="K13" s="1" t="n">
        <f aca="false">SUM(K10:K12)</f>
        <v>4350</v>
      </c>
      <c r="M13" s="1" t="n">
        <v>1000</v>
      </c>
    </row>
    <row r="14" customFormat="false" ht="12.65" hidden="false" customHeight="false" outlineLevel="0" collapsed="false">
      <c r="A14" s="1" t="s">
        <v>277</v>
      </c>
      <c r="B14" s="98" t="n">
        <f aca="false">2376/3</f>
        <v>792</v>
      </c>
      <c r="C14" s="1" t="s">
        <v>278</v>
      </c>
      <c r="M14" s="1" t="n">
        <f aca="false">SUM(M10:M13)</f>
        <v>3400</v>
      </c>
    </row>
    <row r="15" customFormat="false" ht="12.65" hidden="false" customHeight="false" outlineLevel="0" collapsed="false">
      <c r="B15" s="1" t="n">
        <v>0</v>
      </c>
    </row>
    <row r="16" customFormat="false" ht="12.65" hidden="false" customHeight="false" outlineLevel="0" collapsed="false">
      <c r="A16" s="1" t="s">
        <v>279</v>
      </c>
      <c r="B16" s="1" t="s">
        <v>280</v>
      </c>
    </row>
    <row r="17" customFormat="false" ht="12.65" hidden="false" customHeight="false" outlineLevel="0" collapsed="false">
      <c r="A17" s="100" t="s">
        <v>246</v>
      </c>
      <c r="B17" s="100" t="n">
        <f aca="false">SUM(B6:B12)</f>
        <v>11626.46</v>
      </c>
      <c r="C17" s="100"/>
      <c r="D17" s="100"/>
      <c r="E17" s="100"/>
    </row>
    <row r="18" customFormat="false" ht="12.65" hidden="false" customHeight="false" outlineLevel="0" collapsed="false"/>
    <row r="19" customFormat="false" ht="12.65" hidden="false" customHeight="false" outlineLevel="0" collapsed="false">
      <c r="A19" s="1" t="s">
        <v>252</v>
      </c>
      <c r="B19" s="1" t="n">
        <f aca="false">B1-B17-E17</f>
        <v>122.050000000001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B19" activeCellId="0" sqref="B19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8.18"/>
    <col collapsed="false" customWidth="true" hidden="false" outlineLevel="0" max="3" min="3" style="1" width="16.09"/>
    <col collapsed="false" customWidth="true" hidden="false" outlineLevel="0" max="7" min="7" style="1" width="22.09"/>
  </cols>
  <sheetData>
    <row r="1" customFormat="false" ht="12.65" hidden="false" customHeight="false" outlineLevel="0" collapsed="false">
      <c r="A1" s="1" t="s">
        <v>197</v>
      </c>
      <c r="B1" s="1" t="n">
        <v>10918.24</v>
      </c>
    </row>
    <row r="2" customFormat="false" ht="12.65" hidden="false" customHeight="false" outlineLevel="0" collapsed="false">
      <c r="A2" s="1" t="s">
        <v>225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</row>
    <row r="6" customFormat="false" ht="12.65" hidden="false" customHeight="false" outlineLevel="0" collapsed="false">
      <c r="A6" s="97" t="s">
        <v>207</v>
      </c>
      <c r="B6" s="97" t="n">
        <f aca="false">4000-900-1000</f>
        <v>2100</v>
      </c>
    </row>
    <row r="7" customFormat="false" ht="12.65" hidden="false" customHeight="false" outlineLevel="0" collapsed="false">
      <c r="A7" s="98" t="s">
        <v>117</v>
      </c>
      <c r="B7" s="98" t="n">
        <v>1800</v>
      </c>
    </row>
    <row r="8" customFormat="false" ht="12.65" hidden="false" customHeight="false" outlineLevel="0" collapsed="false">
      <c r="A8" s="97" t="s">
        <v>112</v>
      </c>
      <c r="B8" s="1" t="n">
        <v>1000</v>
      </c>
    </row>
    <row r="9" customFormat="false" ht="12.65" hidden="false" customHeight="false" outlineLevel="0" collapsed="false">
      <c r="A9" s="66" t="s">
        <v>256</v>
      </c>
      <c r="B9" s="97" t="n">
        <v>0</v>
      </c>
    </row>
    <row r="10" customFormat="false" ht="12.65" hidden="false" customHeight="false" outlineLevel="0" collapsed="false">
      <c r="A10" s="66" t="s">
        <v>273</v>
      </c>
      <c r="B10" s="98" t="n">
        <v>500</v>
      </c>
    </row>
    <row r="11" customFormat="false" ht="12.65" hidden="false" customHeight="false" outlineLevel="0" collapsed="false">
      <c r="A11" s="1" t="s">
        <v>281</v>
      </c>
      <c r="B11" s="98" t="n">
        <v>0</v>
      </c>
    </row>
    <row r="12" customFormat="false" ht="12.65" hidden="false" customHeight="false" outlineLevel="0" collapsed="false">
      <c r="A12" s="1" t="s">
        <v>282</v>
      </c>
      <c r="B12" s="1" t="n">
        <v>622</v>
      </c>
    </row>
    <row r="13" customFormat="false" ht="12.65" hidden="false" customHeight="false" outlineLevel="0" collapsed="false">
      <c r="A13" s="1" t="s">
        <v>283</v>
      </c>
      <c r="B13" s="1" t="n">
        <v>500</v>
      </c>
    </row>
    <row r="14" customFormat="false" ht="12.65" hidden="false" customHeight="false" outlineLevel="0" collapsed="false">
      <c r="A14" s="1" t="s">
        <v>284</v>
      </c>
      <c r="B14" s="1" t="n">
        <v>3000</v>
      </c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>
      <c r="A17" s="100" t="s">
        <v>246</v>
      </c>
      <c r="B17" s="100" t="n">
        <f aca="false">SUM(B6:B14)</f>
        <v>9522</v>
      </c>
    </row>
    <row r="18" customFormat="false" ht="12.65" hidden="false" customHeight="false" outlineLevel="0" collapsed="false"/>
    <row r="19" customFormat="false" ht="12.65" hidden="false" customHeight="false" outlineLevel="0" collapsed="false">
      <c r="A19" s="1" t="s">
        <v>252</v>
      </c>
      <c r="B19" s="1" t="n">
        <f aca="false">B1+B2-B17-E17</f>
        <v>1396.24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D16" activeCellId="0" sqref="D1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1.09"/>
    <col collapsed="false" customWidth="true" hidden="false" outlineLevel="0" max="3" min="3" style="1" width="16.09"/>
    <col collapsed="false" customWidth="true" hidden="false" outlineLevel="0" max="7" min="7" style="1" width="22.09"/>
  </cols>
  <sheetData>
    <row r="1" customFormat="false" ht="12.65" hidden="false" customHeight="false" outlineLevel="0" collapsed="false">
      <c r="A1" s="1" t="s">
        <v>197</v>
      </c>
      <c r="B1" s="1" t="n">
        <v>11500</v>
      </c>
    </row>
    <row r="2" customFormat="false" ht="12.65" hidden="false" customHeight="false" outlineLevel="0" collapsed="false">
      <c r="A2" s="1" t="s">
        <v>285</v>
      </c>
      <c r="B2" s="1" t="n">
        <v>2121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</row>
    <row r="6" customFormat="false" ht="12.65" hidden="false" customHeight="false" outlineLevel="0" collapsed="false">
      <c r="A6" s="1" t="s">
        <v>207</v>
      </c>
      <c r="B6" s="101" t="n">
        <v>4000</v>
      </c>
    </row>
    <row r="7" customFormat="false" ht="12.65" hidden="false" customHeight="false" outlineLevel="0" collapsed="false">
      <c r="A7" s="1" t="s">
        <v>117</v>
      </c>
      <c r="B7" s="101" t="n">
        <f aca="false">1800+600</f>
        <v>2400</v>
      </c>
    </row>
    <row r="8" customFormat="false" ht="12.65" hidden="false" customHeight="false" outlineLevel="0" collapsed="false">
      <c r="A8" s="1" t="s">
        <v>112</v>
      </c>
      <c r="B8" s="101" t="n">
        <v>400</v>
      </c>
      <c r="E8" s="1" t="s">
        <v>286</v>
      </c>
      <c r="G8" s="1" t="s">
        <v>287</v>
      </c>
      <c r="H8" s="1" t="s">
        <v>288</v>
      </c>
    </row>
    <row r="9" customFormat="false" ht="12.65" hidden="false" customHeight="false" outlineLevel="0" collapsed="false">
      <c r="A9" s="66" t="s">
        <v>256</v>
      </c>
      <c r="B9" s="101" t="n">
        <v>2200</v>
      </c>
      <c r="E9" s="1" t="n">
        <v>4776</v>
      </c>
      <c r="G9" s="1" t="n">
        <f aca="false">E9-B9</f>
        <v>2576</v>
      </c>
      <c r="H9" s="1" t="n">
        <f aca="false">G9-B15</f>
        <v>2126</v>
      </c>
    </row>
    <row r="10" customFormat="false" ht="12.65" hidden="false" customHeight="false" outlineLevel="0" collapsed="false">
      <c r="A10" s="66" t="s">
        <v>273</v>
      </c>
      <c r="B10" s="101" t="n">
        <v>500</v>
      </c>
    </row>
    <row r="11" customFormat="false" ht="12.65" hidden="false" customHeight="false" outlineLevel="0" collapsed="false">
      <c r="A11" s="1" t="s">
        <v>281</v>
      </c>
      <c r="B11" s="101" t="n">
        <v>965</v>
      </c>
    </row>
    <row r="12" customFormat="false" ht="12.65" hidden="false" customHeight="false" outlineLevel="0" collapsed="false">
      <c r="A12" s="66" t="s">
        <v>289</v>
      </c>
      <c r="B12" s="101" t="n">
        <v>200</v>
      </c>
    </row>
    <row r="13" customFormat="false" ht="12.65" hidden="false" customHeight="false" outlineLevel="0" collapsed="false">
      <c r="A13" s="1" t="s">
        <v>290</v>
      </c>
      <c r="B13" s="101" t="n">
        <v>300</v>
      </c>
    </row>
    <row r="14" customFormat="false" ht="12.65" hidden="false" customHeight="false" outlineLevel="0" collapsed="false">
      <c r="A14" s="1" t="s">
        <v>118</v>
      </c>
      <c r="B14" s="101" t="n">
        <v>80</v>
      </c>
    </row>
    <row r="15" customFormat="false" ht="12.65" hidden="false" customHeight="false" outlineLevel="0" collapsed="false">
      <c r="A15" s="1" t="s">
        <v>169</v>
      </c>
      <c r="B15" s="101" t="n">
        <v>450</v>
      </c>
    </row>
    <row r="16" customFormat="false" ht="12.65" hidden="false" customHeight="false" outlineLevel="0" collapsed="false">
      <c r="A16" s="100" t="s">
        <v>246</v>
      </c>
      <c r="B16" s="100" t="n">
        <f aca="false">SUM(B6:B15)</f>
        <v>11495</v>
      </c>
    </row>
    <row r="17" customFormat="false" ht="12.65" hidden="false" customHeight="false" outlineLevel="0" collapsed="false"/>
    <row r="18" customFormat="false" ht="12.65" hidden="false" customHeight="false" outlineLevel="0" collapsed="false">
      <c r="A18" s="72" t="s">
        <v>252</v>
      </c>
      <c r="B18" s="72" t="n">
        <f aca="false">B1+B2-B16</f>
        <v>2126</v>
      </c>
      <c r="C18" s="66" t="s">
        <v>291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G14" activeCellId="0" sqref="G14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1.09"/>
    <col collapsed="false" customWidth="true" hidden="false" outlineLevel="0" max="3" min="3" style="1" width="16.09"/>
    <col collapsed="false" customWidth="true" hidden="false" outlineLevel="0" max="6" min="6" style="1" width="24.63"/>
    <col collapsed="false" customWidth="true" hidden="false" outlineLevel="0" max="7" min="7" style="1" width="22.09"/>
  </cols>
  <sheetData>
    <row r="1" customFormat="false" ht="12.65" hidden="false" customHeight="false" outlineLevel="0" collapsed="false">
      <c r="A1" s="1" t="s">
        <v>197</v>
      </c>
      <c r="B1" s="1" t="n">
        <v>11785</v>
      </c>
    </row>
    <row r="2" customFormat="false" ht="12.65" hidden="false" customHeight="false" outlineLevel="0" collapsed="false">
      <c r="A2" s="1" t="s">
        <v>202</v>
      </c>
      <c r="B2" s="1" t="n">
        <v>57</v>
      </c>
      <c r="E2" s="1" t="n">
        <v>6000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  <c r="C5" s="1" t="s">
        <v>292</v>
      </c>
      <c r="G5" s="1" t="s">
        <v>293</v>
      </c>
      <c r="K5" s="102"/>
    </row>
    <row r="6" customFormat="false" ht="12.65" hidden="false" customHeight="false" outlineLevel="0" collapsed="false">
      <c r="A6" s="1" t="s">
        <v>207</v>
      </c>
      <c r="B6" s="103" t="n">
        <v>2000</v>
      </c>
      <c r="C6" s="103" t="n">
        <v>1800</v>
      </c>
      <c r="F6" s="1" t="s">
        <v>294</v>
      </c>
      <c r="G6" s="1" t="n">
        <f aca="false">1000*5</f>
        <v>5000</v>
      </c>
    </row>
    <row r="7" customFormat="false" ht="12.65" hidden="false" customHeight="false" outlineLevel="0" collapsed="false">
      <c r="A7" s="1" t="s">
        <v>112</v>
      </c>
      <c r="B7" s="103" t="n">
        <v>350</v>
      </c>
      <c r="F7" s="1" t="s">
        <v>295</v>
      </c>
      <c r="G7" s="1" t="n">
        <f aca="false">45000-31000</f>
        <v>14000</v>
      </c>
    </row>
    <row r="8" customFormat="false" ht="12.65" hidden="false" customHeight="false" outlineLevel="0" collapsed="false">
      <c r="A8" s="66" t="s">
        <v>256</v>
      </c>
      <c r="B8" s="1" t="n">
        <v>0</v>
      </c>
      <c r="D8" s="1" t="n">
        <f aca="false">B7+B8+B13</f>
        <v>2350</v>
      </c>
      <c r="F8" s="1" t="s">
        <v>296</v>
      </c>
      <c r="G8" s="1" t="n">
        <v>10000</v>
      </c>
    </row>
    <row r="9" customFormat="false" ht="12.65" hidden="false" customHeight="false" outlineLevel="0" collapsed="false">
      <c r="A9" s="66" t="s">
        <v>273</v>
      </c>
      <c r="B9" s="103" t="n">
        <v>600</v>
      </c>
      <c r="F9" s="1" t="s">
        <v>297</v>
      </c>
      <c r="G9" s="1" t="n">
        <f aca="false">SUM(G6:G8)</f>
        <v>29000</v>
      </c>
    </row>
    <row r="10" customFormat="false" ht="12.65" hidden="false" customHeight="false" outlineLevel="0" collapsed="false">
      <c r="A10" s="1" t="s">
        <v>281</v>
      </c>
      <c r="B10" s="1" t="n">
        <v>0</v>
      </c>
      <c r="C10" s="1" t="n">
        <f aca="false">SUM(B7+B13+B15)</f>
        <v>3650</v>
      </c>
    </row>
    <row r="11" customFormat="false" ht="12.65" hidden="false" customHeight="false" outlineLevel="0" collapsed="false">
      <c r="A11" s="1" t="s">
        <v>282</v>
      </c>
      <c r="B11" s="103" t="n">
        <v>661</v>
      </c>
      <c r="F11" s="1" t="s">
        <v>298</v>
      </c>
    </row>
    <row r="12" customFormat="false" ht="12.65" hidden="false" customHeight="false" outlineLevel="0" collapsed="false">
      <c r="A12" s="1" t="s">
        <v>299</v>
      </c>
      <c r="B12" s="103" t="n">
        <v>301</v>
      </c>
      <c r="F12" s="1" t="s">
        <v>151</v>
      </c>
    </row>
    <row r="13" customFormat="false" ht="12.65" hidden="false" customHeight="false" outlineLevel="0" collapsed="false">
      <c r="A13" s="1" t="s">
        <v>300</v>
      </c>
      <c r="B13" s="1" t="n">
        <v>2000</v>
      </c>
      <c r="F13" s="1" t="s">
        <v>301</v>
      </c>
    </row>
    <row r="14" customFormat="false" ht="12.65" hidden="false" customHeight="false" outlineLevel="0" collapsed="false">
      <c r="A14" s="1" t="s">
        <v>113</v>
      </c>
      <c r="B14" s="103" t="n">
        <v>1000</v>
      </c>
      <c r="F14" s="1" t="s">
        <v>302</v>
      </c>
      <c r="G14" s="1" t="n">
        <f aca="false">G9-G12-G13</f>
        <v>29000</v>
      </c>
    </row>
    <row r="15" customFormat="false" ht="12.65" hidden="false" customHeight="false" outlineLevel="0" collapsed="false">
      <c r="A15" s="1" t="s">
        <v>303</v>
      </c>
      <c r="B15" s="103" t="n">
        <v>1300</v>
      </c>
    </row>
    <row r="16" customFormat="false" ht="12.65" hidden="false" customHeight="false" outlineLevel="0" collapsed="false">
      <c r="A16" s="1" t="s">
        <v>304</v>
      </c>
      <c r="B16" s="51" t="n">
        <v>1000</v>
      </c>
      <c r="C16" s="104" t="s">
        <v>305</v>
      </c>
    </row>
    <row r="17" customFormat="false" ht="12.65" hidden="false" customHeight="false" outlineLevel="0" collapsed="false">
      <c r="A17" s="100" t="s">
        <v>246</v>
      </c>
      <c r="B17" s="100" t="n">
        <f aca="false">SUM(B6:B16)</f>
        <v>9212</v>
      </c>
    </row>
    <row r="18" customFormat="false" ht="12.65" hidden="false" customHeight="false" outlineLevel="0" collapsed="false"/>
    <row r="19" customFormat="false" ht="12.65" hidden="false" customHeight="false" outlineLevel="0" collapsed="false">
      <c r="A19" s="1" t="s">
        <v>252</v>
      </c>
      <c r="B19" s="1" t="n">
        <f aca="false">B1+B2-B17</f>
        <v>2630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B13" activeCellId="0" sqref="B13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6.18"/>
    <col collapsed="false" customWidth="true" hidden="false" outlineLevel="0" max="3" min="3" style="1" width="21.63"/>
    <col collapsed="false" customWidth="true" hidden="false" outlineLevel="0" max="6" min="6" style="1" width="24.63"/>
    <col collapsed="false" customWidth="true" hidden="false" outlineLevel="0" max="7" min="7" style="1" width="22.09"/>
    <col collapsed="false" customWidth="true" hidden="false" outlineLevel="0" max="10" min="10" style="1" width="12"/>
  </cols>
  <sheetData>
    <row r="1" customFormat="false" ht="12.65" hidden="false" customHeight="false" outlineLevel="0" collapsed="false">
      <c r="A1" s="1" t="s">
        <v>197</v>
      </c>
      <c r="B1" s="1" t="n">
        <v>11856.67</v>
      </c>
    </row>
    <row r="2" customFormat="false" ht="12.65" hidden="false" customHeight="false" outlineLevel="0" collapsed="false">
      <c r="A2" s="1" t="s">
        <v>202</v>
      </c>
      <c r="B2" s="1" t="n">
        <v>535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  <c r="G5" s="1" t="s">
        <v>293</v>
      </c>
      <c r="J5" s="1" t="s">
        <v>207</v>
      </c>
      <c r="K5" s="102" t="n">
        <v>4000</v>
      </c>
    </row>
    <row r="6" customFormat="false" ht="12.65" hidden="false" customHeight="false" outlineLevel="0" collapsed="false">
      <c r="A6" s="1" t="s">
        <v>207</v>
      </c>
      <c r="B6" s="103" t="n">
        <v>4000</v>
      </c>
      <c r="F6" s="1" t="s">
        <v>294</v>
      </c>
      <c r="G6" s="1" t="n">
        <f aca="false">1000*5</f>
        <v>5000</v>
      </c>
      <c r="J6" s="1" t="s">
        <v>112</v>
      </c>
      <c r="K6" s="1" t="n">
        <v>500</v>
      </c>
    </row>
    <row r="7" customFormat="false" ht="12.65" hidden="false" customHeight="false" outlineLevel="0" collapsed="false">
      <c r="A7" s="1" t="s">
        <v>112</v>
      </c>
      <c r="B7" s="103" t="n">
        <v>600</v>
      </c>
      <c r="F7" s="1" t="s">
        <v>295</v>
      </c>
      <c r="G7" s="1" t="n">
        <f aca="false">45000-31000</f>
        <v>14000</v>
      </c>
      <c r="J7" s="1" t="s">
        <v>281</v>
      </c>
      <c r="K7" s="1" t="n">
        <v>870</v>
      </c>
    </row>
    <row r="8" customFormat="false" ht="12.65" hidden="false" customHeight="false" outlineLevel="0" collapsed="false">
      <c r="A8" s="66" t="s">
        <v>256</v>
      </c>
      <c r="B8" s="103" t="n">
        <v>1200</v>
      </c>
      <c r="F8" s="1" t="s">
        <v>296</v>
      </c>
      <c r="G8" s="1" t="n">
        <v>10000</v>
      </c>
      <c r="J8" s="1" t="s">
        <v>306</v>
      </c>
      <c r="K8" s="1" t="n">
        <v>650</v>
      </c>
    </row>
    <row r="9" customFormat="false" ht="12.65" hidden="false" customHeight="false" outlineLevel="0" collapsed="false">
      <c r="A9" s="66" t="s">
        <v>169</v>
      </c>
      <c r="B9" s="103" t="n">
        <v>450</v>
      </c>
      <c r="F9" s="1" t="s">
        <v>297</v>
      </c>
      <c r="G9" s="1" t="n">
        <f aca="false">SUM(G6:G8)</f>
        <v>29000</v>
      </c>
      <c r="J9" s="1" t="s">
        <v>307</v>
      </c>
      <c r="K9" s="1" t="n">
        <v>300</v>
      </c>
    </row>
    <row r="10" customFormat="false" ht="12.65" hidden="false" customHeight="false" outlineLevel="0" collapsed="false">
      <c r="A10" s="1" t="s">
        <v>281</v>
      </c>
      <c r="B10" s="103" t="n">
        <v>871</v>
      </c>
      <c r="K10" s="102" t="n">
        <f aca="false">SUM(K5:K9)</f>
        <v>6320</v>
      </c>
    </row>
    <row r="11" customFormat="false" ht="12.65" hidden="false" customHeight="false" outlineLevel="0" collapsed="false"/>
    <row r="12" customFormat="false" ht="12.65" hidden="false" customHeight="false" outlineLevel="0" collapsed="false"/>
    <row r="13" customFormat="false" ht="12.65" hidden="false" customHeight="false" outlineLevel="0" collapsed="false">
      <c r="A13" s="1" t="s">
        <v>300</v>
      </c>
    </row>
    <row r="14" customFormat="false" ht="12.65" hidden="false" customHeight="false" outlineLevel="0" collapsed="false">
      <c r="A14" s="1" t="s">
        <v>308</v>
      </c>
      <c r="C14" s="51"/>
      <c r="D14" s="51"/>
    </row>
    <row r="15" customFormat="false" ht="12.65" hidden="false" customHeight="false" outlineLevel="0" collapsed="false"/>
    <row r="16" customFormat="false" ht="12.65" hidden="false" customHeight="false" outlineLevel="0" collapsed="false">
      <c r="C16" s="104"/>
    </row>
    <row r="17" customFormat="false" ht="12.65" hidden="false" customHeight="false" outlineLevel="0" collapsed="false">
      <c r="A17" s="100" t="s">
        <v>246</v>
      </c>
      <c r="B17" s="100" t="n">
        <f aca="false">SUM(B6:B16)</f>
        <v>7121</v>
      </c>
    </row>
    <row r="18" customFormat="false" ht="12.65" hidden="false" customHeight="false" outlineLevel="0" collapsed="false"/>
    <row r="19" customFormat="false" ht="12.65" hidden="false" customHeight="false" outlineLevel="0" collapsed="false">
      <c r="A19" s="1" t="s">
        <v>252</v>
      </c>
      <c r="B19" s="1" t="n">
        <f aca="false">B1+B2-B17</f>
        <v>5270.67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D16" activeCellId="0" sqref="D16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6.18"/>
    <col collapsed="false" customWidth="true" hidden="false" outlineLevel="0" max="3" min="3" style="1" width="21.63"/>
    <col collapsed="false" customWidth="true" hidden="false" outlineLevel="0" max="6" min="6" style="1" width="24.63"/>
    <col collapsed="false" customWidth="true" hidden="false" outlineLevel="0" max="7" min="7" style="1" width="22.09"/>
    <col collapsed="false" customWidth="true" hidden="false" outlineLevel="0" max="10" min="10" style="1" width="12"/>
  </cols>
  <sheetData>
    <row r="1" customFormat="false" ht="12.65" hidden="false" customHeight="false" outlineLevel="0" collapsed="false">
      <c r="A1" s="1" t="s">
        <v>197</v>
      </c>
      <c r="B1" s="1" t="n">
        <v>11783</v>
      </c>
    </row>
    <row r="2" customFormat="false" ht="12.65" hidden="false" customHeight="false" outlineLevel="0" collapsed="false">
      <c r="A2" s="1" t="s">
        <v>202</v>
      </c>
      <c r="B2" s="1" t="n">
        <v>174.64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  <c r="G5" s="1" t="s">
        <v>293</v>
      </c>
      <c r="K5" s="102"/>
    </row>
    <row r="6" customFormat="false" ht="12.65" hidden="false" customHeight="false" outlineLevel="0" collapsed="false">
      <c r="A6" s="1" t="s">
        <v>207</v>
      </c>
      <c r="B6" s="103" t="n">
        <v>3200</v>
      </c>
      <c r="F6" s="1" t="s">
        <v>294</v>
      </c>
      <c r="G6" s="1" t="n">
        <v>0</v>
      </c>
    </row>
    <row r="7" customFormat="false" ht="12.65" hidden="false" customHeight="false" outlineLevel="0" collapsed="false">
      <c r="A7" s="1" t="s">
        <v>112</v>
      </c>
      <c r="B7" s="103" t="n">
        <v>600</v>
      </c>
      <c r="F7" s="1" t="s">
        <v>295</v>
      </c>
      <c r="G7" s="1" t="n">
        <v>18000</v>
      </c>
    </row>
    <row r="8" customFormat="false" ht="12.65" hidden="false" customHeight="false" outlineLevel="0" collapsed="false">
      <c r="A8" s="66" t="s">
        <v>256</v>
      </c>
      <c r="B8" s="103" t="n">
        <v>0</v>
      </c>
      <c r="C8" s="1" t="s">
        <v>309</v>
      </c>
      <c r="D8" s="1" t="n">
        <v>1800</v>
      </c>
      <c r="F8" s="1" t="s">
        <v>296</v>
      </c>
      <c r="G8" s="1" t="n">
        <v>10000</v>
      </c>
    </row>
    <row r="9" customFormat="false" ht="12.65" hidden="false" customHeight="false" outlineLevel="0" collapsed="false">
      <c r="A9" s="66" t="s">
        <v>299</v>
      </c>
      <c r="B9" s="103" t="n">
        <v>1000</v>
      </c>
      <c r="F9" s="1" t="s">
        <v>297</v>
      </c>
      <c r="G9" s="1" t="n">
        <f aca="false">SUM(G6:G8)</f>
        <v>28000</v>
      </c>
    </row>
    <row r="10" customFormat="false" ht="12.65" hidden="false" customHeight="false" outlineLevel="0" collapsed="false">
      <c r="A10" s="1" t="s">
        <v>281</v>
      </c>
      <c r="B10" s="103" t="n">
        <v>700</v>
      </c>
      <c r="K10" s="102"/>
    </row>
    <row r="11" customFormat="false" ht="12.65" hidden="false" customHeight="false" outlineLevel="0" collapsed="false">
      <c r="A11" s="1" t="s">
        <v>113</v>
      </c>
      <c r="B11" s="103" t="n">
        <v>2000</v>
      </c>
      <c r="F11" s="1" t="s">
        <v>310</v>
      </c>
      <c r="G11" s="50" t="n">
        <v>15000</v>
      </c>
    </row>
    <row r="12" customFormat="false" ht="12.65" hidden="false" customHeight="false" outlineLevel="0" collapsed="false">
      <c r="B12" s="103"/>
      <c r="C12" s="50"/>
    </row>
    <row r="13" customFormat="false" ht="12.65" hidden="false" customHeight="false" outlineLevel="0" collapsed="false">
      <c r="C13" s="50"/>
      <c r="D13" s="50"/>
      <c r="G13" s="50" t="n">
        <f aca="false">G9-G11</f>
        <v>13000</v>
      </c>
    </row>
    <row r="14" customFormat="false" ht="12.65" hidden="false" customHeight="false" outlineLevel="0" collapsed="false">
      <c r="C14" s="51"/>
      <c r="D14" s="51"/>
    </row>
    <row r="15" customFormat="false" ht="12.65" hidden="false" customHeight="false" outlineLevel="0" collapsed="false"/>
    <row r="16" customFormat="false" ht="12.65" hidden="false" customHeight="false" outlineLevel="0" collapsed="false">
      <c r="C16" s="104"/>
    </row>
    <row r="17" customFormat="false" ht="12.65" hidden="false" customHeight="false" outlineLevel="0" collapsed="false">
      <c r="A17" s="100" t="s">
        <v>246</v>
      </c>
      <c r="B17" s="100" t="n">
        <f aca="false">SUM(B6:B16)</f>
        <v>7500</v>
      </c>
    </row>
    <row r="18" customFormat="false" ht="12.65" hidden="false" customHeight="false" outlineLevel="0" collapsed="false"/>
    <row r="19" customFormat="false" ht="12.65" hidden="false" customHeight="false" outlineLevel="0" collapsed="false">
      <c r="A19" s="1" t="s">
        <v>252</v>
      </c>
      <c r="B19" s="1" t="n">
        <f aca="false">B1+B2-B17</f>
        <v>4457.64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B11" activeCellId="0" sqref="B11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6.18"/>
    <col collapsed="false" customWidth="true" hidden="false" outlineLevel="0" max="3" min="3" style="1" width="21.63"/>
    <col collapsed="false" customWidth="true" hidden="false" outlineLevel="0" max="6" min="6" style="1" width="24.63"/>
    <col collapsed="false" customWidth="true" hidden="false" outlineLevel="0" max="7" min="7" style="1" width="22.09"/>
    <col collapsed="false" customWidth="true" hidden="false" outlineLevel="0" max="10" min="10" style="1" width="12"/>
  </cols>
  <sheetData>
    <row r="1" customFormat="false" ht="12.65" hidden="false" customHeight="false" outlineLevel="0" collapsed="false">
      <c r="A1" s="1" t="s">
        <v>197</v>
      </c>
      <c r="B1" s="1" t="n">
        <v>11700</v>
      </c>
    </row>
    <row r="2" customFormat="false" ht="12.65" hidden="false" customHeight="false" outlineLevel="0" collapsed="false">
      <c r="A2" s="1" t="s">
        <v>311</v>
      </c>
      <c r="B2" s="1" t="n">
        <v>1300</v>
      </c>
    </row>
    <row r="3" customFormat="false" ht="12.65" hidden="false" customHeight="false" outlineLevel="0" collapsed="false"/>
    <row r="4" customFormat="false" ht="12.65" hidden="false" customHeight="false" outlineLevel="0" collapsed="false"/>
    <row r="5" customFormat="false" ht="12.65" hidden="false" customHeight="false" outlineLevel="0" collapsed="false">
      <c r="A5" s="95" t="s">
        <v>271</v>
      </c>
      <c r="B5" s="95"/>
      <c r="G5" s="1" t="s">
        <v>293</v>
      </c>
      <c r="K5" s="102"/>
    </row>
    <row r="6" customFormat="false" ht="12.65" hidden="false" customHeight="false" outlineLevel="0" collapsed="false">
      <c r="A6" s="1" t="s">
        <v>207</v>
      </c>
      <c r="B6" s="1" t="n">
        <v>4000</v>
      </c>
      <c r="F6" s="1" t="s">
        <v>294</v>
      </c>
      <c r="G6" s="1" t="n">
        <v>0</v>
      </c>
    </row>
    <row r="7" customFormat="false" ht="12.65" hidden="false" customHeight="false" outlineLevel="0" collapsed="false">
      <c r="A7" s="1" t="s">
        <v>112</v>
      </c>
      <c r="B7" s="1" t="n">
        <v>1000</v>
      </c>
      <c r="F7" s="1" t="s">
        <v>295</v>
      </c>
      <c r="G7" s="1" t="n">
        <v>18000</v>
      </c>
    </row>
    <row r="8" customFormat="false" ht="12.65" hidden="false" customHeight="false" outlineLevel="0" collapsed="false">
      <c r="A8" s="66" t="s">
        <v>256</v>
      </c>
      <c r="B8" s="1" t="n">
        <v>2200</v>
      </c>
      <c r="F8" s="1" t="s">
        <v>296</v>
      </c>
      <c r="G8" s="1" t="n">
        <v>10000</v>
      </c>
    </row>
    <row r="9" customFormat="false" ht="12.65" hidden="false" customHeight="false" outlineLevel="0" collapsed="false">
      <c r="A9" s="66" t="s">
        <v>312</v>
      </c>
      <c r="B9" s="1" t="n">
        <v>1000</v>
      </c>
      <c r="F9" s="1" t="s">
        <v>297</v>
      </c>
      <c r="G9" s="1" t="n">
        <f aca="false">SUM(G6:G8)</f>
        <v>28000</v>
      </c>
    </row>
    <row r="10" customFormat="false" ht="12.65" hidden="false" customHeight="false" outlineLevel="0" collapsed="false">
      <c r="A10" s="66" t="s">
        <v>313</v>
      </c>
      <c r="B10" s="1" t="n">
        <v>1000</v>
      </c>
      <c r="K10" s="102"/>
    </row>
    <row r="11" customFormat="false" ht="12.65" hidden="false" customHeight="false" outlineLevel="0" collapsed="false">
      <c r="F11" s="1" t="s">
        <v>310</v>
      </c>
      <c r="G11" s="50" t="n">
        <v>15000</v>
      </c>
    </row>
    <row r="12" customFormat="false" ht="12.65" hidden="false" customHeight="false" outlineLevel="0" collapsed="false">
      <c r="C12" s="50"/>
    </row>
    <row r="13" customFormat="false" ht="12.65" hidden="false" customHeight="false" outlineLevel="0" collapsed="false">
      <c r="C13" s="50"/>
      <c r="D13" s="50"/>
      <c r="G13" s="50" t="n">
        <f aca="false">G9-G11</f>
        <v>13000</v>
      </c>
    </row>
    <row r="14" customFormat="false" ht="12.65" hidden="false" customHeight="false" outlineLevel="0" collapsed="false">
      <c r="C14" s="51"/>
      <c r="D14" s="51"/>
    </row>
    <row r="15" customFormat="false" ht="12.65" hidden="false" customHeight="false" outlineLevel="0" collapsed="false"/>
    <row r="16" customFormat="false" ht="12.65" hidden="false" customHeight="false" outlineLevel="0" collapsed="false">
      <c r="C16" s="104"/>
    </row>
    <row r="17" customFormat="false" ht="12.65" hidden="false" customHeight="false" outlineLevel="0" collapsed="false">
      <c r="A17" s="100" t="s">
        <v>246</v>
      </c>
      <c r="B17" s="100" t="n">
        <f aca="false">SUM(B6:B16)</f>
        <v>9200</v>
      </c>
    </row>
    <row r="18" customFormat="false" ht="12.65" hidden="false" customHeight="false" outlineLevel="0" collapsed="false"/>
    <row r="19" customFormat="false" ht="12.65" hidden="false" customHeight="false" outlineLevel="0" collapsed="false">
      <c r="A19" s="1" t="s">
        <v>252</v>
      </c>
      <c r="B19" s="1" t="n">
        <f aca="false">B1+B2-B17</f>
        <v>3800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"/>
  <sheetViews>
    <sheetView showFormulas="false" showGridLines="true" showRowColHeaders="true" showZeros="true" rightToLeft="false" tabSelected="false" showOutlineSymbols="true" defaultGridColor="true" view="normal" topLeftCell="A1" colorId="64" zoomScale="98" zoomScaleNormal="98" zoomScalePageLayoutView="100" workbookViewId="0">
      <selection pane="topLeft" activeCell="A7" activeCellId="0" sqref="A7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6.18"/>
    <col collapsed="false" customWidth="true" hidden="false" outlineLevel="0" max="3" min="3" style="1" width="21.63"/>
    <col collapsed="false" customWidth="true" hidden="false" outlineLevel="0" max="5" min="5" style="1" width="14.45"/>
    <col collapsed="false" customWidth="true" hidden="false" outlineLevel="0" max="6" min="6" style="1" width="24.63"/>
    <col collapsed="false" customWidth="true" hidden="false" outlineLevel="0" max="7" min="7" style="1" width="22.09"/>
    <col collapsed="false" customWidth="true" hidden="false" outlineLevel="0" max="10" min="10" style="1" width="12"/>
  </cols>
  <sheetData>
    <row r="1" customFormat="false" ht="12.65" hidden="false" customHeight="false" outlineLevel="0" collapsed="false">
      <c r="A1" s="1" t="s">
        <v>197</v>
      </c>
      <c r="B1" s="1" t="n">
        <v>11700</v>
      </c>
    </row>
    <row r="2" customFormat="false" ht="12.65" hidden="false" customHeight="false" outlineLevel="0" collapsed="false">
      <c r="A2" s="1" t="s">
        <v>314</v>
      </c>
      <c r="B2" s="1" t="n">
        <v>3769.11</v>
      </c>
    </row>
    <row r="3" customFormat="false" ht="12.65" hidden="false" customHeight="false" outlineLevel="0" collapsed="false">
      <c r="A3" s="1" t="s">
        <v>315</v>
      </c>
      <c r="B3" s="1" t="n">
        <v>4658.89</v>
      </c>
    </row>
    <row r="4" customFormat="false" ht="12.65" hidden="false" customHeight="false" outlineLevel="0" collapsed="false">
      <c r="A4" s="1" t="s">
        <v>135</v>
      </c>
      <c r="B4" s="1" t="n">
        <f aca="false">B3+B2+B1</f>
        <v>20128</v>
      </c>
    </row>
    <row r="5" customFormat="false" ht="12.65" hidden="false" customHeight="false" outlineLevel="0" collapsed="false">
      <c r="A5" s="95" t="s">
        <v>271</v>
      </c>
      <c r="B5" s="95"/>
      <c r="D5" s="1" t="s">
        <v>316</v>
      </c>
      <c r="K5" s="102"/>
    </row>
    <row r="6" customFormat="false" ht="12.65" hidden="false" customHeight="false" outlineLevel="0" collapsed="false">
      <c r="A6" s="1" t="s">
        <v>207</v>
      </c>
      <c r="B6" s="1" t="n">
        <v>2000</v>
      </c>
      <c r="C6" s="1" t="n">
        <f aca="false">B6+B7+B9</f>
        <v>4300</v>
      </c>
      <c r="D6" s="1" t="s">
        <v>317</v>
      </c>
    </row>
    <row r="7" customFormat="false" ht="12.65" hidden="false" customHeight="false" outlineLevel="0" collapsed="false">
      <c r="A7" s="1" t="s">
        <v>112</v>
      </c>
      <c r="B7" s="1" t="n">
        <v>800</v>
      </c>
      <c r="E7" s="1" t="s">
        <v>113</v>
      </c>
      <c r="F7" s="1" t="n">
        <v>1000</v>
      </c>
    </row>
    <row r="8" customFormat="false" ht="12.65" hidden="false" customHeight="false" outlineLevel="0" collapsed="false">
      <c r="A8" s="66" t="s">
        <v>277</v>
      </c>
      <c r="B8" s="1" t="n">
        <v>3121.27</v>
      </c>
      <c r="E8" s="1" t="s">
        <v>318</v>
      </c>
      <c r="F8" s="1" t="n">
        <v>600</v>
      </c>
    </row>
    <row r="9" customFormat="false" ht="12.65" hidden="false" customHeight="false" outlineLevel="0" collapsed="false">
      <c r="A9" s="66" t="s">
        <v>303</v>
      </c>
      <c r="B9" s="1" t="n">
        <v>1500</v>
      </c>
      <c r="E9" s="1" t="s">
        <v>319</v>
      </c>
      <c r="F9" s="1" t="n">
        <v>116</v>
      </c>
      <c r="G9" s="52" t="n">
        <f aca="false">F9+F8+F7</f>
        <v>1716</v>
      </c>
      <c r="H9" s="52" t="s">
        <v>320</v>
      </c>
    </row>
    <row r="10" customFormat="false" ht="12.65" hidden="false" customHeight="false" outlineLevel="0" collapsed="false">
      <c r="A10" s="66"/>
      <c r="E10" s="1" t="s">
        <v>321</v>
      </c>
      <c r="F10" s="1" t="n">
        <v>-1716</v>
      </c>
      <c r="K10" s="102"/>
    </row>
    <row r="11" customFormat="false" ht="12.65" hidden="false" customHeight="false" outlineLevel="0" collapsed="false">
      <c r="G11" s="50"/>
    </row>
    <row r="12" customFormat="false" ht="12.65" hidden="false" customHeight="false" outlineLevel="0" collapsed="false">
      <c r="C12" s="50"/>
    </row>
    <row r="13" customFormat="false" ht="12.65" hidden="false" customHeight="false" outlineLevel="0" collapsed="false">
      <c r="C13" s="50"/>
      <c r="G13" s="50"/>
    </row>
    <row r="14" customFormat="false" ht="12.65" hidden="false" customHeight="false" outlineLevel="0" collapsed="false">
      <c r="C14" s="51"/>
    </row>
    <row r="15" customFormat="false" ht="12.65" hidden="false" customHeight="false" outlineLevel="0" collapsed="false"/>
    <row r="16" customFormat="false" ht="12.65" hidden="false" customHeight="false" outlineLevel="0" collapsed="false">
      <c r="C16" s="104"/>
    </row>
    <row r="17" customFormat="false" ht="12.65" hidden="false" customHeight="false" outlineLevel="0" collapsed="false">
      <c r="A17" s="100" t="s">
        <v>246</v>
      </c>
      <c r="B17" s="100" t="n">
        <f aca="false">SUM(B6:B16)</f>
        <v>7421.27</v>
      </c>
      <c r="D17" s="1" t="s">
        <v>322</v>
      </c>
    </row>
    <row r="18" customFormat="false" ht="12.65" hidden="false" customHeight="false" outlineLevel="0" collapsed="false">
      <c r="E18" s="1" t="s">
        <v>323</v>
      </c>
      <c r="F18" s="1" t="n">
        <v>500</v>
      </c>
    </row>
    <row r="19" customFormat="false" ht="12.65" hidden="false" customHeight="false" outlineLevel="0" collapsed="false">
      <c r="A19" s="1" t="s">
        <v>252</v>
      </c>
      <c r="B19" s="1" t="n">
        <f aca="false">B4-B17</f>
        <v>12706.73</v>
      </c>
      <c r="D19" s="50"/>
      <c r="E19" s="1" t="s">
        <v>324</v>
      </c>
      <c r="F19" s="1" t="n">
        <v>577</v>
      </c>
    </row>
    <row r="20" customFormat="false" ht="12.65" hidden="false" customHeight="false" outlineLevel="0" collapsed="false">
      <c r="D20" s="51"/>
      <c r="E20" s="1" t="s">
        <v>325</v>
      </c>
      <c r="F20" s="1" t="n">
        <v>1500</v>
      </c>
    </row>
  </sheetData>
  <mergeCells count="1">
    <mergeCell ref="A5:B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7" activeCellId="0" sqref="G7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6.09"/>
    <col collapsed="false" customWidth="true" hidden="false" outlineLevel="0" max="2" min="2" style="47" width="11.18"/>
    <col collapsed="false" customWidth="true" hidden="false" outlineLevel="0" max="5" min="5" style="47" width="11.18"/>
    <col collapsed="false" customWidth="true" hidden="false" outlineLevel="0" max="6" min="6" style="1" width="11.18"/>
  </cols>
  <sheetData>
    <row r="1" customFormat="false" ht="12.65" hidden="false" customHeight="false" outlineLevel="0" collapsed="false">
      <c r="A1" s="1" t="s">
        <v>326</v>
      </c>
      <c r="B1" s="47" t="n">
        <v>2630</v>
      </c>
      <c r="D1" s="1" t="s">
        <v>327</v>
      </c>
      <c r="E1" s="47" t="n">
        <v>15000</v>
      </c>
      <c r="F1" s="50" t="n">
        <f aca="false">E1-B3</f>
        <v>1845</v>
      </c>
      <c r="G1" s="1" t="s">
        <v>328</v>
      </c>
    </row>
    <row r="2" customFormat="false" ht="12.65" hidden="false" customHeight="false" outlineLevel="0" collapsed="false">
      <c r="A2" s="1" t="s">
        <v>329</v>
      </c>
      <c r="B2" s="47" t="n">
        <v>800</v>
      </c>
      <c r="F2" s="1" t="n">
        <v>10000</v>
      </c>
      <c r="G2" s="1" t="s">
        <v>296</v>
      </c>
    </row>
    <row r="3" customFormat="false" ht="12.65" hidden="false" customHeight="false" outlineLevel="0" collapsed="false">
      <c r="A3" s="1" t="s">
        <v>330</v>
      </c>
      <c r="B3" s="47" t="n">
        <v>13155</v>
      </c>
      <c r="F3" s="1" t="n">
        <v>3000</v>
      </c>
      <c r="G3" s="1" t="s">
        <v>331</v>
      </c>
    </row>
    <row r="4" customFormat="false" ht="12.65" hidden="false" customHeight="false" outlineLevel="0" collapsed="false">
      <c r="F4" s="50" t="n">
        <v>12000</v>
      </c>
      <c r="G4" s="1" t="s">
        <v>332</v>
      </c>
    </row>
    <row r="5" customFormat="false" ht="12.65" hidden="false" customHeight="false" outlineLevel="0" collapsed="false">
      <c r="F5" s="1" t="n">
        <v>-6000</v>
      </c>
      <c r="G5" s="1" t="s">
        <v>333</v>
      </c>
    </row>
    <row r="6" customFormat="false" ht="12.65" hidden="false" customHeight="false" outlineLevel="0" collapsed="false">
      <c r="F6" s="50" t="n">
        <f aca="false">SUM(F1:F5)</f>
        <v>20845</v>
      </c>
      <c r="G6" s="1" t="s">
        <v>334</v>
      </c>
    </row>
    <row r="7" customFormat="false" ht="12.65" hidden="false" customHeight="false" outlineLevel="0" collapsed="false"/>
    <row r="8" customFormat="false" ht="12.65" hidden="false" customHeight="false" outlineLevel="0" collapsed="false">
      <c r="A8" s="1" t="s">
        <v>335</v>
      </c>
    </row>
    <row r="9" customFormat="false" ht="12.65" hidden="false" customHeight="false" outlineLevel="0" collapsed="false"/>
    <row r="10" customFormat="false" ht="12.65" hidden="false" customHeight="false" outlineLevel="0" collapsed="false"/>
    <row r="11" customFormat="false" ht="12.65" hidden="false" customHeight="false" outlineLevel="0" collapsed="false"/>
    <row r="12" customFormat="false" ht="12.65" hidden="false" customHeight="false" outlineLevel="0" collapsed="false">
      <c r="A12" s="1" t="s">
        <v>336</v>
      </c>
      <c r="B12" s="47" t="n">
        <f aca="false">SUM(B1:B11)</f>
        <v>16585</v>
      </c>
      <c r="D12" s="1" t="s">
        <v>337</v>
      </c>
      <c r="E12" s="47" t="n">
        <f aca="false">E1-B12</f>
        <v>-1585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G21" activeCellId="0" sqref="G21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22.82"/>
    <col collapsed="false" customWidth="true" hidden="false" outlineLevel="0" max="2" min="2" style="1" width="15.63"/>
    <col collapsed="false" customWidth="true" hidden="false" outlineLevel="0" max="3" min="3" style="1" width="12"/>
    <col collapsed="false" customWidth="true" hidden="false" outlineLevel="0" max="4" min="4" style="1" width="17.54"/>
    <col collapsed="false" customWidth="true" hidden="false" outlineLevel="0" max="5" min="5" style="1" width="19.36"/>
  </cols>
  <sheetData>
    <row r="1" customFormat="false" ht="12.65" hidden="false" customHeight="false" outlineLevel="0" collapsed="false">
      <c r="A1" s="1" t="s">
        <v>160</v>
      </c>
      <c r="B1" s="1" t="s">
        <v>338</v>
      </c>
      <c r="C1" s="1" t="s">
        <v>339</v>
      </c>
      <c r="D1" s="1" t="s">
        <v>340</v>
      </c>
      <c r="E1" s="1" t="s">
        <v>341</v>
      </c>
      <c r="F1" s="1" t="s">
        <v>342</v>
      </c>
      <c r="G1" s="1" t="s">
        <v>343</v>
      </c>
      <c r="H1" s="1" t="s">
        <v>344</v>
      </c>
    </row>
    <row r="2" customFormat="false" ht="12.65" hidden="false" customHeight="false" outlineLevel="0" collapsed="false">
      <c r="C2" s="51" t="n">
        <v>5</v>
      </c>
      <c r="F2" s="1" t="s">
        <v>345</v>
      </c>
      <c r="G2" s="47" t="n">
        <v>0</v>
      </c>
      <c r="H2" s="49" t="n">
        <v>0</v>
      </c>
    </row>
    <row r="3" customFormat="false" ht="12.65" hidden="false" customHeight="false" outlineLevel="0" collapsed="false">
      <c r="A3" s="1" t="s">
        <v>113</v>
      </c>
      <c r="B3" s="47" t="n">
        <v>3000</v>
      </c>
      <c r="C3" s="47" t="n">
        <f aca="false">B3/$C$2</f>
        <v>600</v>
      </c>
      <c r="D3" s="47" t="n">
        <f aca="false">C3/$C$2</f>
        <v>120</v>
      </c>
      <c r="E3" s="50" t="n">
        <f aca="false">D3*2</f>
        <v>240</v>
      </c>
      <c r="F3" s="1" t="s">
        <v>317</v>
      </c>
      <c r="G3" s="47" t="n">
        <v>6000</v>
      </c>
      <c r="H3" s="49" t="n">
        <f aca="false">H13/G3</f>
        <v>0.333333333333333</v>
      </c>
    </row>
    <row r="4" customFormat="false" ht="12.65" hidden="false" customHeight="false" outlineLevel="0" collapsed="false">
      <c r="A4" s="1" t="s">
        <v>346</v>
      </c>
      <c r="B4" s="47" t="n">
        <v>4000</v>
      </c>
      <c r="C4" s="47" t="n">
        <f aca="false">B4/$C$2</f>
        <v>800</v>
      </c>
      <c r="D4" s="47" t="n">
        <f aca="false">C4/$C$2</f>
        <v>160</v>
      </c>
      <c r="E4" s="50" t="n">
        <f aca="false">D4*2</f>
        <v>320</v>
      </c>
      <c r="F4" s="1" t="s">
        <v>347</v>
      </c>
      <c r="G4" s="47" t="n">
        <v>22000</v>
      </c>
      <c r="H4" s="49" t="n">
        <f aca="false">B35/G4</f>
        <v>0.690909090909091</v>
      </c>
    </row>
    <row r="5" customFormat="false" ht="12.65" hidden="false" customHeight="false" outlineLevel="0" collapsed="false">
      <c r="A5" s="1" t="s">
        <v>348</v>
      </c>
      <c r="B5" s="47" t="n">
        <v>1200</v>
      </c>
      <c r="C5" s="47" t="n">
        <f aca="false">B5/$C$2</f>
        <v>240</v>
      </c>
      <c r="D5" s="47" t="n">
        <f aca="false">C5/$C$2</f>
        <v>48</v>
      </c>
      <c r="E5" s="50" t="n">
        <f aca="false">D5*2</f>
        <v>96</v>
      </c>
      <c r="F5" s="1" t="s">
        <v>349</v>
      </c>
      <c r="G5" s="47" t="n">
        <f aca="false">2200*4</f>
        <v>8800</v>
      </c>
      <c r="H5" s="49" t="n">
        <f aca="false">H12/G5</f>
        <v>0.409090909090909</v>
      </c>
    </row>
    <row r="6" customFormat="false" ht="12.65" hidden="false" customHeight="false" outlineLevel="0" collapsed="false">
      <c r="A6" s="1" t="s">
        <v>350</v>
      </c>
      <c r="B6" s="47" t="n">
        <v>8000</v>
      </c>
      <c r="C6" s="47" t="n">
        <f aca="false">B6/$C$2</f>
        <v>1600</v>
      </c>
      <c r="D6" s="47" t="n">
        <f aca="false">C6/$C$2</f>
        <v>320</v>
      </c>
      <c r="E6" s="50" t="n">
        <f aca="false">D6*2</f>
        <v>640</v>
      </c>
    </row>
    <row r="7" customFormat="false" ht="12.65" hidden="false" customHeight="false" outlineLevel="0" collapsed="false">
      <c r="A7" s="1" t="s">
        <v>169</v>
      </c>
      <c r="B7" s="47" t="n">
        <v>450</v>
      </c>
      <c r="C7" s="47" t="n">
        <f aca="false">B7/$C$2</f>
        <v>90</v>
      </c>
      <c r="D7" s="47" t="n">
        <f aca="false">C7/$C$2</f>
        <v>18</v>
      </c>
      <c r="E7" s="50" t="n">
        <f aca="false">D7*2</f>
        <v>36</v>
      </c>
      <c r="G7" s="50" t="n">
        <f aca="false">(G5/4)-D11</f>
        <v>1300</v>
      </c>
      <c r="H7" s="50" t="n">
        <f aca="false">(G3/4)-D11</f>
        <v>600</v>
      </c>
    </row>
    <row r="8" customFormat="false" ht="12.65" hidden="false" customHeight="false" outlineLevel="0" collapsed="false">
      <c r="A8" s="1" t="s">
        <v>118</v>
      </c>
      <c r="B8" s="47" t="n">
        <v>350</v>
      </c>
      <c r="C8" s="47" t="n">
        <f aca="false">B8/$C$2</f>
        <v>70</v>
      </c>
      <c r="D8" s="47" t="n">
        <f aca="false">C8/$C$2</f>
        <v>14</v>
      </c>
      <c r="E8" s="50" t="n">
        <f aca="false">D8*2</f>
        <v>28</v>
      </c>
    </row>
    <row r="9" customFormat="false" ht="12.65" hidden="false" customHeight="false" outlineLevel="0" collapsed="false">
      <c r="A9" s="1" t="s">
        <v>114</v>
      </c>
      <c r="B9" s="47" t="n">
        <v>500</v>
      </c>
      <c r="C9" s="47" t="n">
        <f aca="false">B9/$C$2</f>
        <v>100</v>
      </c>
      <c r="D9" s="47" t="n">
        <f aca="false">C9/$C$2</f>
        <v>20</v>
      </c>
      <c r="E9" s="50" t="n">
        <f aca="false">D9*2</f>
        <v>40</v>
      </c>
    </row>
    <row r="10" customFormat="false" ht="12.65" hidden="false" customHeight="false" outlineLevel="0" collapsed="false">
      <c r="B10" s="47"/>
      <c r="C10" s="47"/>
      <c r="D10" s="47"/>
      <c r="E10" s="50"/>
    </row>
    <row r="11" customFormat="false" ht="12.65" hidden="false" customHeight="false" outlineLevel="0" collapsed="false">
      <c r="A11" s="52" t="s">
        <v>351</v>
      </c>
      <c r="B11" s="86" t="n">
        <f aca="false">SUM(B3:B9)</f>
        <v>17500</v>
      </c>
      <c r="C11" s="86" t="n">
        <f aca="false">SUM(C3:C9)</f>
        <v>3500</v>
      </c>
      <c r="D11" s="86" t="n">
        <v>900</v>
      </c>
      <c r="E11" s="50" t="n">
        <f aca="false">D11*2</f>
        <v>1800</v>
      </c>
      <c r="F11" s="50"/>
    </row>
    <row r="12" customFormat="false" ht="12.65" hidden="false" customHeight="false" outlineLevel="0" collapsed="false">
      <c r="G12" s="50" t="s">
        <v>352</v>
      </c>
      <c r="H12" s="50" t="n">
        <f aca="false">D11*4</f>
        <v>3600</v>
      </c>
      <c r="J12" s="50"/>
    </row>
    <row r="13" customFormat="false" ht="12.65" hidden="false" customHeight="false" outlineLevel="0" collapsed="false">
      <c r="G13" s="1" t="s">
        <v>317</v>
      </c>
      <c r="H13" s="1" t="n">
        <v>2000</v>
      </c>
    </row>
    <row r="14" customFormat="false" ht="12.65" hidden="false" customHeight="false" outlineLevel="0" collapsed="false">
      <c r="C14" s="50"/>
      <c r="D14" s="50"/>
    </row>
    <row r="15" customFormat="false" ht="12.65" hidden="false" customHeight="false" outlineLevel="0" collapsed="false"/>
    <row r="16" customFormat="false" ht="12.65" hidden="false" customHeight="false" outlineLevel="0" collapsed="false"/>
    <row r="17" customFormat="false" ht="12.65" hidden="false" customHeight="false" outlineLevel="0" collapsed="false"/>
    <row r="18" customFormat="false" ht="12.65" hidden="false" customHeight="false" outlineLevel="0" collapsed="false">
      <c r="B18" s="1" t="s">
        <v>86</v>
      </c>
      <c r="C18" s="1" t="s">
        <v>106</v>
      </c>
      <c r="D18" s="1" t="s">
        <v>353</v>
      </c>
    </row>
    <row r="19" customFormat="false" ht="12.65" hidden="false" customHeight="false" outlineLevel="0" collapsed="false">
      <c r="A19" s="1" t="s">
        <v>354</v>
      </c>
      <c r="B19" s="1" t="n">
        <v>22000</v>
      </c>
      <c r="C19" s="1" t="n">
        <v>11000</v>
      </c>
      <c r="D19" s="1" t="n">
        <f aca="false">C19/2</f>
        <v>5500</v>
      </c>
    </row>
    <row r="20" customFormat="false" ht="12.65" hidden="false" customHeight="false" outlineLevel="0" collapsed="false"/>
    <row r="21" customFormat="false" ht="12.65" hidden="false" customHeight="false" outlineLevel="0" collapsed="false">
      <c r="A21" s="1" t="s">
        <v>113</v>
      </c>
      <c r="B21" s="50" t="n">
        <f aca="false">C3*2</f>
        <v>1200</v>
      </c>
      <c r="C21" s="50" t="n">
        <f aca="false">B21/2</f>
        <v>600</v>
      </c>
      <c r="D21" s="50" t="n">
        <f aca="false">C21/2</f>
        <v>300</v>
      </c>
      <c r="E21" s="50"/>
      <c r="F21" s="50"/>
    </row>
    <row r="22" customFormat="false" ht="12.65" hidden="false" customHeight="false" outlineLevel="0" collapsed="false">
      <c r="A22" s="1" t="s">
        <v>355</v>
      </c>
      <c r="B22" s="50" t="n">
        <f aca="false">C4*2</f>
        <v>1600</v>
      </c>
      <c r="C22" s="50" t="n">
        <f aca="false">B22/2</f>
        <v>800</v>
      </c>
      <c r="D22" s="50" t="n">
        <f aca="false">C22/2</f>
        <v>400</v>
      </c>
    </row>
    <row r="23" customFormat="false" ht="12.65" hidden="false" customHeight="false" outlineLevel="0" collapsed="false">
      <c r="A23" s="1" t="s">
        <v>348</v>
      </c>
      <c r="B23" s="50" t="n">
        <f aca="false">C5*2</f>
        <v>480</v>
      </c>
      <c r="C23" s="50" t="n">
        <f aca="false">B23/2</f>
        <v>240</v>
      </c>
      <c r="D23" s="50" t="n">
        <f aca="false">C23/2</f>
        <v>120</v>
      </c>
    </row>
    <row r="24" customFormat="false" ht="12.65" hidden="false" customHeight="false" outlineLevel="0" collapsed="false">
      <c r="A24" s="1" t="s">
        <v>350</v>
      </c>
      <c r="B24" s="50" t="n">
        <f aca="false">C6*2</f>
        <v>3200</v>
      </c>
      <c r="C24" s="50" t="n">
        <f aca="false">B24/2</f>
        <v>1600</v>
      </c>
      <c r="D24" s="50" t="n">
        <f aca="false">C24/2</f>
        <v>800</v>
      </c>
    </row>
    <row r="25" customFormat="false" ht="12.65" hidden="false" customHeight="false" outlineLevel="0" collapsed="false">
      <c r="A25" s="1" t="s">
        <v>169</v>
      </c>
      <c r="B25" s="50" t="n">
        <f aca="false">C7*2</f>
        <v>180</v>
      </c>
      <c r="C25" s="50" t="n">
        <f aca="false">B25/2</f>
        <v>90</v>
      </c>
      <c r="D25" s="50" t="n">
        <f aca="false">C25/2</f>
        <v>45</v>
      </c>
    </row>
    <row r="26" customFormat="false" ht="12.65" hidden="false" customHeight="false" outlineLevel="0" collapsed="false">
      <c r="A26" s="1" t="s">
        <v>118</v>
      </c>
      <c r="B26" s="50" t="n">
        <f aca="false">C8*2</f>
        <v>140</v>
      </c>
      <c r="C26" s="50" t="n">
        <f aca="false">B26/2</f>
        <v>70</v>
      </c>
      <c r="D26" s="50" t="n">
        <f aca="false">C26/2</f>
        <v>35</v>
      </c>
    </row>
    <row r="27" customFormat="false" ht="12.65" hidden="false" customHeight="false" outlineLevel="0" collapsed="false">
      <c r="A27" s="1" t="s">
        <v>114</v>
      </c>
      <c r="B27" s="50" t="n">
        <f aca="false">C9*2</f>
        <v>200</v>
      </c>
      <c r="C27" s="50" t="n">
        <f aca="false">B27/2</f>
        <v>100</v>
      </c>
      <c r="D27" s="50" t="n">
        <f aca="false">C27/2</f>
        <v>50</v>
      </c>
    </row>
    <row r="28" customFormat="false" ht="12.65" hidden="false" customHeight="false" outlineLevel="0" collapsed="false">
      <c r="A28" s="1" t="s">
        <v>356</v>
      </c>
      <c r="B28" s="1" t="n">
        <v>2000</v>
      </c>
      <c r="C28" s="50" t="n">
        <f aca="false">B28/2</f>
        <v>1000</v>
      </c>
      <c r="D28" s="50" t="n">
        <f aca="false">C28/2</f>
        <v>500</v>
      </c>
    </row>
    <row r="29" customFormat="false" ht="12.65" hidden="false" customHeight="false" outlineLevel="0" collapsed="false">
      <c r="A29" s="1" t="s">
        <v>357</v>
      </c>
      <c r="B29" s="1" t="n">
        <v>2000</v>
      </c>
      <c r="C29" s="50" t="n">
        <f aca="false">B29/2</f>
        <v>1000</v>
      </c>
      <c r="D29" s="50" t="n">
        <f aca="false">C29/2</f>
        <v>500</v>
      </c>
    </row>
    <row r="30" customFormat="false" ht="12.65" hidden="false" customHeight="false" outlineLevel="0" collapsed="false">
      <c r="A30" s="1" t="s">
        <v>117</v>
      </c>
      <c r="B30" s="1" t="n">
        <f aca="false">1750*2</f>
        <v>3500</v>
      </c>
      <c r="C30" s="1" t="n">
        <v>1750</v>
      </c>
      <c r="D30" s="50" t="n">
        <f aca="false">C30/2</f>
        <v>875</v>
      </c>
    </row>
    <row r="31" customFormat="false" ht="12.65" hidden="false" customHeight="false" outlineLevel="0" collapsed="false">
      <c r="A31" s="1" t="s">
        <v>358</v>
      </c>
      <c r="B31" s="1" t="n">
        <f aca="false">600+100</f>
        <v>700</v>
      </c>
      <c r="C31" s="50" t="n">
        <f aca="false">B31/2</f>
        <v>350</v>
      </c>
      <c r="D31" s="50" t="n">
        <f aca="false">C31/2</f>
        <v>175</v>
      </c>
    </row>
    <row r="32" customFormat="false" ht="12.65" hidden="false" customHeight="false" outlineLevel="0" collapsed="false">
      <c r="A32" s="1" t="s">
        <v>359</v>
      </c>
      <c r="B32" s="1" t="n">
        <v>0</v>
      </c>
      <c r="C32" s="50" t="n">
        <f aca="false">B32/2</f>
        <v>0</v>
      </c>
      <c r="D32" s="50" t="n">
        <f aca="false">C32/2</f>
        <v>0</v>
      </c>
    </row>
    <row r="33" customFormat="false" ht="12.65" hidden="false" customHeight="false" outlineLevel="0" collapsed="false">
      <c r="A33" s="1" t="s">
        <v>118</v>
      </c>
      <c r="C33" s="50"/>
      <c r="D33" s="50"/>
    </row>
    <row r="34" customFormat="false" ht="12.65" hidden="false" customHeight="false" outlineLevel="0" collapsed="false">
      <c r="D34" s="50"/>
    </row>
    <row r="35" customFormat="false" ht="12.65" hidden="false" customHeight="false" outlineLevel="0" collapsed="false">
      <c r="A35" s="52" t="s">
        <v>351</v>
      </c>
      <c r="B35" s="53" t="n">
        <f aca="false">SUM(B21:B32)</f>
        <v>15200</v>
      </c>
      <c r="C35" s="53" t="n">
        <f aca="false">SUM(C21:C32)</f>
        <v>7600</v>
      </c>
      <c r="D35" s="50" t="n">
        <f aca="false">C35/2</f>
        <v>3800</v>
      </c>
    </row>
    <row r="36" customFormat="false" ht="12.65" hidden="false" customHeight="false" outlineLevel="0" collapsed="false">
      <c r="D36" s="50"/>
    </row>
    <row r="37" customFormat="false" ht="12.65" hidden="false" customHeight="false" outlineLevel="0" collapsed="false">
      <c r="A37" s="51" t="s">
        <v>360</v>
      </c>
      <c r="B37" s="65" t="n">
        <f aca="false">B19-B35</f>
        <v>6800</v>
      </c>
      <c r="C37" s="65" t="n">
        <f aca="false">C19-C35</f>
        <v>3400</v>
      </c>
      <c r="D37" s="50" t="n">
        <f aca="false">C37/2</f>
        <v>1700</v>
      </c>
    </row>
    <row r="40" customFormat="false" ht="12" hidden="false" customHeight="false" outlineLevel="0" collapsed="false">
      <c r="C40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41" zoomScaleNormal="141" zoomScalePageLayoutView="100" workbookViewId="0">
      <selection pane="topLeft" activeCell="D10" activeCellId="0" sqref="D10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36"/>
    <col collapsed="false" customWidth="true" hidden="false" outlineLevel="0" max="2" min="2" style="47" width="12.45"/>
  </cols>
  <sheetData>
    <row r="1" customFormat="false" ht="12.65" hidden="false" customHeight="false" outlineLevel="0" collapsed="false">
      <c r="A1" s="1" t="s">
        <v>361</v>
      </c>
      <c r="B1" s="86" t="n">
        <v>20400</v>
      </c>
      <c r="C1" s="1" t="s">
        <v>362</v>
      </c>
    </row>
    <row r="2" customFormat="false" ht="12.65" hidden="false" customHeight="false" outlineLevel="0" collapsed="false">
      <c r="A2" s="1" t="s">
        <v>363</v>
      </c>
      <c r="B2" s="86" t="n">
        <v>31000</v>
      </c>
    </row>
    <row r="3" customFormat="false" ht="12.65" hidden="false" customHeight="false" outlineLevel="0" collapsed="false">
      <c r="A3" s="1" t="s">
        <v>364</v>
      </c>
      <c r="B3" s="47" t="n">
        <v>51113.89</v>
      </c>
    </row>
    <row r="4" customFormat="false" ht="12.65" hidden="false" customHeight="false" outlineLevel="0" collapsed="false">
      <c r="A4" s="1" t="s">
        <v>365</v>
      </c>
      <c r="B4" s="47" t="n">
        <v>38520.95</v>
      </c>
      <c r="C4" s="50" t="n">
        <f aca="false">B1+B2+B6+B7</f>
        <v>60048.07</v>
      </c>
    </row>
    <row r="5" customFormat="false" ht="12.65" hidden="false" customHeight="false" outlineLevel="0" collapsed="false">
      <c r="A5" s="1" t="s">
        <v>366</v>
      </c>
      <c r="B5" s="47" t="n">
        <v>15915.93</v>
      </c>
    </row>
    <row r="6" customFormat="false" ht="12.65" hidden="false" customHeight="false" outlineLevel="0" collapsed="false">
      <c r="A6" s="1" t="s">
        <v>367</v>
      </c>
      <c r="B6" s="86" t="n">
        <v>6239.78</v>
      </c>
    </row>
    <row r="7" customFormat="false" ht="12.65" hidden="false" customHeight="false" outlineLevel="0" collapsed="false">
      <c r="A7" s="1" t="s">
        <v>183</v>
      </c>
      <c r="B7" s="86" t="n">
        <f aca="false">5058.12-2649.83</f>
        <v>2408.29</v>
      </c>
    </row>
    <row r="8" customFormat="false" ht="12.65" hidden="false" customHeight="false" outlineLevel="0" collapsed="false">
      <c r="A8" s="1" t="s">
        <v>368</v>
      </c>
      <c r="B8" s="47" t="n">
        <v>2890</v>
      </c>
    </row>
    <row r="9" customFormat="false" ht="12.65" hidden="false" customHeight="false" outlineLevel="0" collapsed="false"/>
    <row r="10" customFormat="false" ht="12.65" hidden="false" customHeight="false" outlineLevel="0" collapsed="false">
      <c r="B10" s="48" t="n">
        <f aca="false">SUM(B3:B9)</f>
        <v>117088.84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L9" activeCellId="0" sqref="L9"/>
    </sheetView>
  </sheetViews>
  <sheetFormatPr defaultColWidth="10.54296875" defaultRowHeight="12" customHeight="true" zeroHeight="false" outlineLevelRow="0" outlineLevelCol="0"/>
  <cols>
    <col collapsed="false" customWidth="true" hidden="false" outlineLevel="0" max="1" min="1" style="1" width="12.91"/>
    <col collapsed="false" customWidth="true" hidden="false" outlineLevel="0" max="2" min="2" style="47" width="11.54"/>
    <col collapsed="false" customWidth="true" hidden="false" outlineLevel="0" max="3" min="3" style="1" width="20.09"/>
    <col collapsed="false" customWidth="true" hidden="false" outlineLevel="0" max="4" min="4" style="47" width="12.45"/>
  </cols>
  <sheetData>
    <row r="1" customFormat="false" ht="12.65" hidden="false" customHeight="false" outlineLevel="0" collapsed="false">
      <c r="A1" s="1" t="s">
        <v>369</v>
      </c>
      <c r="B1" s="47" t="n">
        <v>9004.35</v>
      </c>
      <c r="H1" s="1" t="s">
        <v>370</v>
      </c>
      <c r="I1" s="1" t="n">
        <v>16.5</v>
      </c>
    </row>
    <row r="2" customFormat="false" ht="12.65" hidden="false" customHeight="false" outlineLevel="0" collapsed="false">
      <c r="A2" s="1" t="s">
        <v>371</v>
      </c>
      <c r="B2" s="47" t="n">
        <v>3831.6</v>
      </c>
      <c r="H2" s="1" t="s">
        <v>372</v>
      </c>
      <c r="I2" s="1" t="n">
        <v>10</v>
      </c>
    </row>
    <row r="3" customFormat="false" ht="12.65" hidden="false" customHeight="false" outlineLevel="0" collapsed="false">
      <c r="A3" s="1" t="s">
        <v>183</v>
      </c>
      <c r="B3" s="47" t="n">
        <v>4000</v>
      </c>
      <c r="H3" s="1" t="s">
        <v>373</v>
      </c>
      <c r="I3" s="1" t="n">
        <v>10</v>
      </c>
    </row>
    <row r="4" customFormat="false" ht="12.65" hidden="false" customHeight="false" outlineLevel="0" collapsed="false">
      <c r="A4" s="1" t="s">
        <v>374</v>
      </c>
      <c r="B4" s="47" t="n">
        <v>9937.67</v>
      </c>
      <c r="H4" s="1" t="s">
        <v>375</v>
      </c>
      <c r="I4" s="1" t="n">
        <v>10</v>
      </c>
    </row>
    <row r="5" customFormat="false" ht="12.65" hidden="false" customHeight="false" outlineLevel="0" collapsed="false">
      <c r="A5" s="1" t="s">
        <v>116</v>
      </c>
      <c r="B5" s="47" t="n">
        <v>34315</v>
      </c>
      <c r="H5" s="1" t="s">
        <v>376</v>
      </c>
      <c r="I5" s="1" t="n">
        <v>14</v>
      </c>
    </row>
    <row r="6" customFormat="false" ht="12.65" hidden="false" customHeight="false" outlineLevel="0" collapsed="false">
      <c r="B6" s="48" t="n">
        <f aca="false">SUM(B1:B5)</f>
        <v>61088.62</v>
      </c>
      <c r="H6" s="1" t="s">
        <v>377</v>
      </c>
      <c r="I6" s="1" t="n">
        <v>16</v>
      </c>
    </row>
    <row r="7" customFormat="false" ht="12.65" hidden="false" customHeight="false" outlineLevel="0" collapsed="false">
      <c r="H7" s="1" t="s">
        <v>378</v>
      </c>
      <c r="I7" s="1" t="n">
        <v>15</v>
      </c>
    </row>
    <row r="8" customFormat="false" ht="12.65" hidden="false" customHeight="false" outlineLevel="0" collapsed="false">
      <c r="H8" s="1" t="s">
        <v>379</v>
      </c>
      <c r="I8" s="1" t="n">
        <v>10</v>
      </c>
    </row>
    <row r="9" customFormat="false" ht="12.65" hidden="false" customHeight="false" outlineLevel="0" collapsed="false">
      <c r="C9" s="1" t="s">
        <v>380</v>
      </c>
      <c r="D9" s="47" t="n">
        <v>120000</v>
      </c>
      <c r="H9" s="52" t="s">
        <v>351</v>
      </c>
      <c r="I9" s="52" t="n">
        <f aca="false">SUM(I1:I8)</f>
        <v>101.5</v>
      </c>
      <c r="K9" s="1" t="n">
        <f aca="false">I9/I12</f>
        <v>12.6875</v>
      </c>
      <c r="L9" s="1" t="n">
        <f aca="false">K9*2</f>
        <v>25.375</v>
      </c>
    </row>
    <row r="10" customFormat="false" ht="12.65" hidden="false" customHeight="false" outlineLevel="0" collapsed="false">
      <c r="C10" s="1" t="s">
        <v>381</v>
      </c>
      <c r="D10" s="47" t="n">
        <f aca="false">B6</f>
        <v>61088.62</v>
      </c>
    </row>
    <row r="11" customFormat="false" ht="12.65" hidden="false" customHeight="false" outlineLevel="0" collapsed="false">
      <c r="C11" s="1" t="s">
        <v>328</v>
      </c>
      <c r="D11" s="47" t="n">
        <f aca="false">D9-D10</f>
        <v>58911.38</v>
      </c>
    </row>
    <row r="12" customFormat="false" ht="12.65" hidden="false" customHeight="false" outlineLevel="0" collapsed="false">
      <c r="H12" s="1" t="s">
        <v>382</v>
      </c>
      <c r="I12" s="1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ca4980-ef46-49b7-a653-dbb3721aa41d" xsi:nil="true"/>
    <lcf76f155ced4ddcb4097134ff3c332f xmlns="c8f1db25-331e-42ae-9f88-09b76e4d3d7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F60B256FDF9A40BF8310DED62E252A" ma:contentTypeVersion="12" ma:contentTypeDescription="Crear nuevo documento." ma:contentTypeScope="" ma:versionID="5db7b5e1578bea69767c3f3ca203ac24">
  <xsd:schema xmlns:xsd="http://www.w3.org/2001/XMLSchema" xmlns:xs="http://www.w3.org/2001/XMLSchema" xmlns:p="http://schemas.microsoft.com/office/2006/metadata/properties" xmlns:ns2="c8f1db25-331e-42ae-9f88-09b76e4d3d75" xmlns:ns3="46ca4980-ef46-49b7-a653-dbb3721aa41d" targetNamespace="http://schemas.microsoft.com/office/2006/metadata/properties" ma:root="true" ma:fieldsID="9c1cecb9161a4b5b450eb03a5c691a0b" ns2:_="" ns3:_="">
    <xsd:import namespace="c8f1db25-331e-42ae-9f88-09b76e4d3d75"/>
    <xsd:import namespace="46ca4980-ef46-49b7-a653-dbb3721a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f1db25-331e-42ae-9f88-09b76e4d3d7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de2fc062-e393-4d23-ba7f-bda7336ca38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a4980-ef46-49b7-a653-dbb3721aa41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34f7b3dc-1088-481a-b4c2-f14bbc01198c}" ma:internalName="TaxCatchAll" ma:showField="CatchAllData" ma:web="46ca4980-ef46-49b7-a653-dbb3721aa4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F8AD1AC-83E2-4D86-B35A-6DFFD172D46D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www.w3.org/XML/1998/namespace"/>
    <ds:schemaRef ds:uri="http://schemas.openxmlformats.org/package/2006/metadata/core-properties"/>
    <ds:schemaRef ds:uri="46ca4980-ef46-49b7-a653-dbb3721aa41d"/>
    <ds:schemaRef ds:uri="c8f1db25-331e-42ae-9f88-09b76e4d3d75"/>
  </ds:schemaRefs>
</ds:datastoreItem>
</file>

<file path=customXml/itemProps2.xml><?xml version="1.0" encoding="utf-8"?>
<ds:datastoreItem xmlns:ds="http://schemas.openxmlformats.org/officeDocument/2006/customXml" ds:itemID="{8DF312BA-D23F-4B47-975C-1DC4911AD15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7CC0876-0E80-40C2-A017-A78470CE8E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f1db25-331e-42ae-9f88-09b76e4d3d75"/>
    <ds:schemaRef ds:uri="46ca4980-ef46-49b7-a653-dbb3721aa4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583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2023-12-19T19:38:07Z</dcterms:created>
  <dc:creator/>
  <dc:description/>
  <dc:language>en-US</dc:language>
  <cp:lastModifiedBy/>
  <dcterms:modified xsi:type="dcterms:W3CDTF">2025-12-05T00:37:14Z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0x01010014F60B256FDF9A40BF8310DED62E252A</vt:lpwstr>
  </property>
  <property fmtid="{D5CDD505-2E9C-101B-9397-08002B2CF9AE}" pid="3" name="MediaServiceImageTags">
    <vt:lpwstr/>
  </property>
</Properties>
</file>