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david.banda\Downloads\"/>
    </mc:Choice>
  </mc:AlternateContent>
  <xr:revisionPtr revIDLastSave="0" documentId="13_ncr:1_{68887BA0-30B1-4F83-81BD-2F3E837D0777}" xr6:coauthVersionLast="47" xr6:coauthVersionMax="47" xr10:uidLastSave="{00000000-0000-0000-0000-000000000000}"/>
  <bookViews>
    <workbookView xWindow="-19320" yWindow="-120" windowWidth="19440" windowHeight="11520" firstSheet="25" activeTab="27" xr2:uid="{00000000-000D-0000-FFFF-FFFF00000000}"/>
  </bookViews>
  <sheets>
    <sheet name="Antes del 12-10-2023" sheetId="1" r:id="rId1"/>
    <sheet name="Previo al 12-10-2023" sheetId="2" r:id="rId2"/>
    <sheet name="Modificaciones del 07-11-2023" sheetId="3" r:id="rId3"/>
    <sheet name="TIS 1126 | 19-12-2023" sheetId="4" r:id="rId4"/>
    <sheet name="Hoja1" sheetId="5" r:id="rId5"/>
    <sheet name="Gastos" sheetId="6" r:id="rId6"/>
    <sheet name="Hoja2" sheetId="7" r:id="rId7"/>
    <sheet name="Q1-ene" sheetId="8" r:id="rId8"/>
    <sheet name="Hoja3" sheetId="9" r:id="rId9"/>
    <sheet name="Q2-Ene" sheetId="10" r:id="rId10"/>
    <sheet name="Q1-Feb" sheetId="11" r:id="rId11"/>
    <sheet name="Q2-Feb" sheetId="13" r:id="rId12"/>
    <sheet name="Q1-Mar" sheetId="14" r:id="rId13"/>
    <sheet name="Q2-Mar" sheetId="18" r:id="rId14"/>
    <sheet name="Q1-Abril" sheetId="17" r:id="rId15"/>
    <sheet name="Q1-Abril (2)" sheetId="19" r:id="rId16"/>
    <sheet name="Q1-May" sheetId="20" r:id="rId17"/>
    <sheet name="Q2-May" sheetId="21" r:id="rId18"/>
    <sheet name="Q1-Jun" sheetId="22" r:id="rId19"/>
    <sheet name="Q2-" sheetId="23" r:id="rId20"/>
    <sheet name="Q1 - Jul" sheetId="24" r:id="rId21"/>
    <sheet name="Q1 - Ago" sheetId="25" r:id="rId22"/>
    <sheet name="Q2 - Ago " sheetId="26" r:id="rId23"/>
    <sheet name="Q1 - Sep" sheetId="27" r:id="rId24"/>
    <sheet name="Q2 - Sep" sheetId="28" r:id="rId25"/>
    <sheet name="Q1 - Oct" sheetId="29" r:id="rId26"/>
    <sheet name="Q2 - Oct" sheetId="31" r:id="rId27"/>
    <sheet name="Q1 - Nov" sheetId="32" r:id="rId28"/>
    <sheet name="Inversión Neón" sheetId="30" r:id="rId29"/>
    <sheet name="Gatos de casa" sheetId="12" r:id="rId30"/>
    <sheet name="Todas mis deudas" sheetId="15" r:id="rId31"/>
    <sheet name="Deudas Gris" sheetId="16" r:id="rId3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" i="32" l="1"/>
  <c r="G9" i="32"/>
  <c r="B4" i="32"/>
  <c r="B17" i="32"/>
  <c r="B19" i="32" s="1"/>
  <c r="F6" i="30"/>
  <c r="F1" i="30"/>
  <c r="B17" i="31"/>
  <c r="B19" i="31" s="1"/>
  <c r="G9" i="31"/>
  <c r="G13" i="31" s="1"/>
  <c r="B17" i="29"/>
  <c r="B19" i="29" s="1"/>
  <c r="B12" i="30"/>
  <c r="E12" i="30" s="1"/>
  <c r="G9" i="29"/>
  <c r="G13" i="29" s="1"/>
  <c r="K10" i="28"/>
  <c r="B17" i="28"/>
  <c r="B19" i="28" s="1"/>
  <c r="G9" i="28"/>
  <c r="G7" i="28"/>
  <c r="G6" i="28"/>
  <c r="G7" i="27"/>
  <c r="G9" i="27"/>
  <c r="G14" i="27" s="1"/>
  <c r="G6" i="27"/>
  <c r="C10" i="27"/>
  <c r="D8" i="27"/>
  <c r="B17" i="27"/>
  <c r="B19" i="27" s="1"/>
  <c r="G9" i="26"/>
  <c r="H9" i="26" s="1"/>
  <c r="B7" i="26" l="1"/>
  <c r="B16" i="26"/>
  <c r="B18" i="26" s="1"/>
  <c r="B6" i="25"/>
  <c r="B17" i="25"/>
  <c r="B19" i="25" s="1"/>
  <c r="L18" i="5"/>
  <c r="B17" i="24"/>
  <c r="B12" i="24"/>
  <c r="J13" i="24"/>
  <c r="B11" i="24"/>
  <c r="B14" i="24"/>
  <c r="B1" i="24"/>
  <c r="M14" i="24"/>
  <c r="K13" i="24"/>
  <c r="L19" i="23"/>
  <c r="E18" i="23"/>
  <c r="B20" i="23" s="1"/>
  <c r="C18" i="23"/>
  <c r="K13" i="23"/>
  <c r="M14" i="23"/>
  <c r="B18" i="23"/>
  <c r="C29" i="12"/>
  <c r="G5" i="12"/>
  <c r="B30" i="12"/>
  <c r="H12" i="12"/>
  <c r="H5" i="12" s="1"/>
  <c r="H3" i="12"/>
  <c r="H7" i="12"/>
  <c r="G7" i="12"/>
  <c r="D30" i="12"/>
  <c r="D19" i="12"/>
  <c r="B31" i="12"/>
  <c r="C31" i="12" s="1"/>
  <c r="D31" i="12" s="1"/>
  <c r="C32" i="12"/>
  <c r="D32" i="12" s="1"/>
  <c r="C6" i="12"/>
  <c r="C28" i="12"/>
  <c r="D28" i="12" s="1"/>
  <c r="D29" i="12"/>
  <c r="B18" i="22"/>
  <c r="B20" i="22" s="1"/>
  <c r="F11" i="22"/>
  <c r="G12" i="21"/>
  <c r="B18" i="21"/>
  <c r="B20" i="21" s="1"/>
  <c r="B18" i="20"/>
  <c r="B11" i="12"/>
  <c r="C9" i="19"/>
  <c r="I16" i="19"/>
  <c r="B18" i="19"/>
  <c r="E7" i="19"/>
  <c r="E7" i="17"/>
  <c r="C15" i="17"/>
  <c r="B11" i="17"/>
  <c r="B18" i="17"/>
  <c r="B20" i="17" s="1"/>
  <c r="H11" i="18"/>
  <c r="F15" i="18"/>
  <c r="F12" i="18"/>
  <c r="C5" i="18"/>
  <c r="B14" i="18"/>
  <c r="B16" i="18" s="1"/>
  <c r="C8" i="14"/>
  <c r="C9" i="14"/>
  <c r="C7" i="14"/>
  <c r="D10" i="14"/>
  <c r="L9" i="16"/>
  <c r="K9" i="16"/>
  <c r="I9" i="16"/>
  <c r="C4" i="15"/>
  <c r="D11" i="16"/>
  <c r="D10" i="16"/>
  <c r="B10" i="15"/>
  <c r="B6" i="16"/>
  <c r="B7" i="15"/>
  <c r="B11" i="14"/>
  <c r="B11" i="13"/>
  <c r="F14" i="13" s="1"/>
  <c r="H11" i="13"/>
  <c r="G11" i="13"/>
  <c r="I12" i="13"/>
  <c r="D11" i="13"/>
  <c r="E14" i="13" s="1"/>
  <c r="C9" i="13"/>
  <c r="I15" i="14"/>
  <c r="I4" i="14"/>
  <c r="B4" i="14"/>
  <c r="B15" i="14"/>
  <c r="B4" i="13"/>
  <c r="D18" i="11"/>
  <c r="D2" i="11"/>
  <c r="B16" i="11"/>
  <c r="J7" i="11"/>
  <c r="I7" i="11"/>
  <c r="B11" i="11"/>
  <c r="B12" i="11"/>
  <c r="C3" i="12"/>
  <c r="D3" i="12" s="1"/>
  <c r="E3" i="12" s="1"/>
  <c r="C9" i="12"/>
  <c r="D9" i="12" s="1"/>
  <c r="E9" i="12" s="1"/>
  <c r="C8" i="12"/>
  <c r="D8" i="12" s="1"/>
  <c r="E8" i="12" s="1"/>
  <c r="C7" i="12"/>
  <c r="D7" i="12" s="1"/>
  <c r="E7" i="12" s="1"/>
  <c r="C4" i="12"/>
  <c r="D4" i="12" s="1"/>
  <c r="E4" i="12" s="1"/>
  <c r="C5" i="12"/>
  <c r="D5" i="12" s="1"/>
  <c r="E5" i="12" s="1"/>
  <c r="E4" i="11"/>
  <c r="D4" i="11"/>
  <c r="C4" i="11"/>
  <c r="B18" i="10"/>
  <c r="B19" i="10" s="1"/>
  <c r="C2" i="10" s="1"/>
  <c r="B8" i="10"/>
  <c r="B2" i="10"/>
  <c r="D9" i="9"/>
  <c r="D6" i="9"/>
  <c r="F7" i="8"/>
  <c r="B5" i="9"/>
  <c r="B9" i="9"/>
  <c r="M11" i="8"/>
  <c r="M5" i="8"/>
  <c r="B17" i="8"/>
  <c r="C17" i="8"/>
  <c r="B2" i="8"/>
  <c r="L20" i="6"/>
  <c r="G22" i="7"/>
  <c r="A2" i="7"/>
  <c r="C16" i="7"/>
  <c r="C17" i="7" s="1"/>
  <c r="G12" i="7"/>
  <c r="B16" i="7"/>
  <c r="D5" i="7"/>
  <c r="B6" i="7"/>
  <c r="B5" i="7"/>
  <c r="L22" i="5"/>
  <c r="L23" i="5" s="1"/>
  <c r="L24" i="5" s="1"/>
  <c r="L25" i="5" s="1"/>
  <c r="L26" i="5" s="1"/>
  <c r="L27" i="5" s="1"/>
  <c r="L28" i="5" s="1"/>
  <c r="L29" i="5" s="1"/>
  <c r="D23" i="6"/>
  <c r="H10" i="6"/>
  <c r="U25" i="6"/>
  <c r="L24" i="6"/>
  <c r="R25" i="6"/>
  <c r="O24" i="6"/>
  <c r="I19" i="6"/>
  <c r="C17" i="6"/>
  <c r="E5" i="5"/>
  <c r="D12" i="6"/>
  <c r="E12" i="6"/>
  <c r="F12" i="6"/>
  <c r="G12" i="6"/>
  <c r="C12" i="6"/>
  <c r="L6" i="5"/>
  <c r="L7" i="5" s="1"/>
  <c r="D2" i="5"/>
  <c r="F2" i="5" s="1"/>
  <c r="I2" i="5" s="1"/>
  <c r="K2" i="5" s="1"/>
  <c r="M2" i="5" s="1"/>
  <c r="M3" i="5" s="1"/>
  <c r="B3" i="6"/>
  <c r="D4" i="3"/>
  <c r="D5" i="3" s="1"/>
  <c r="D6" i="3" s="1"/>
  <c r="D7" i="3" s="1"/>
  <c r="D8" i="3" s="1"/>
  <c r="D9" i="3" s="1"/>
  <c r="D10" i="3" s="1"/>
  <c r="D11" i="3" s="1"/>
  <c r="D12" i="3" s="1"/>
  <c r="D13" i="3" s="1"/>
  <c r="D14" i="3" s="1"/>
  <c r="D15" i="3" s="1"/>
  <c r="D16" i="3" s="1"/>
  <c r="D17" i="3" s="1"/>
  <c r="D18" i="3" s="1"/>
  <c r="D19" i="3" s="1"/>
  <c r="D20" i="3" s="1"/>
  <c r="D21" i="3" s="1"/>
  <c r="D22" i="3" s="1"/>
  <c r="D23" i="3" s="1"/>
  <c r="D24" i="3" s="1"/>
  <c r="D25" i="3" s="1"/>
  <c r="D26" i="3" s="1"/>
  <c r="D27" i="3" s="1"/>
  <c r="D28" i="3" s="1"/>
  <c r="D29" i="3" s="1"/>
  <c r="D30" i="3" s="1"/>
  <c r="D31" i="3" s="1"/>
  <c r="D32" i="3" s="1"/>
  <c r="D33" i="3" s="1"/>
  <c r="D34" i="3" s="1"/>
  <c r="D35" i="3" s="1"/>
  <c r="D36" i="3" s="1"/>
  <c r="D37" i="3" s="1"/>
  <c r="D38" i="3" s="1"/>
  <c r="D39" i="3" s="1"/>
  <c r="D40" i="3" s="1"/>
  <c r="M29" i="5" l="1"/>
  <c r="L30" i="5"/>
  <c r="L31" i="5" s="1"/>
  <c r="L32" i="5" s="1"/>
  <c r="M32" i="5" s="1"/>
  <c r="M27" i="5"/>
  <c r="M22" i="5"/>
  <c r="M26" i="5"/>
  <c r="M25" i="5"/>
  <c r="M24" i="5"/>
  <c r="M28" i="5"/>
  <c r="M23" i="5"/>
  <c r="B19" i="24"/>
  <c r="C11" i="12"/>
  <c r="B26" i="12"/>
  <c r="C26" i="12" s="1"/>
  <c r="D26" i="12" s="1"/>
  <c r="B21" i="12"/>
  <c r="B22" i="12"/>
  <c r="C22" i="12" s="1"/>
  <c r="D22" i="12" s="1"/>
  <c r="B23" i="12"/>
  <c r="C23" i="12" s="1"/>
  <c r="D23" i="12" s="1"/>
  <c r="B25" i="12"/>
  <c r="C25" i="12" s="1"/>
  <c r="D25" i="12" s="1"/>
  <c r="B27" i="12"/>
  <c r="C27" i="12" s="1"/>
  <c r="D27" i="12" s="1"/>
  <c r="B20" i="19"/>
  <c r="B24" i="12"/>
  <c r="B17" i="14"/>
  <c r="E11" i="14" s="1"/>
  <c r="B15" i="13"/>
  <c r="B17" i="13" s="1"/>
  <c r="I17" i="14"/>
  <c r="D16" i="11"/>
  <c r="F8" i="8"/>
  <c r="B17" i="7"/>
  <c r="H10" i="7" s="1"/>
  <c r="M31" i="5"/>
  <c r="M30" i="5"/>
  <c r="B7" i="6"/>
  <c r="F15" i="6"/>
  <c r="G15" i="6" s="1"/>
  <c r="G17" i="6" s="1"/>
  <c r="G19" i="6" s="1"/>
  <c r="D17" i="6"/>
  <c r="D19" i="6" s="1"/>
  <c r="D31" i="6" s="1"/>
  <c r="M6" i="5"/>
  <c r="L8" i="5"/>
  <c r="L9" i="5" s="1"/>
  <c r="M7" i="5"/>
  <c r="C21" i="12" l="1"/>
  <c r="D21" i="12" s="1"/>
  <c r="B35" i="12"/>
  <c r="H4" i="12" s="1"/>
  <c r="C24" i="12"/>
  <c r="D6" i="12"/>
  <c r="E6" i="12" s="1"/>
  <c r="L33" i="5"/>
  <c r="E17" i="6"/>
  <c r="E19" i="6" s="1"/>
  <c r="F17" i="6"/>
  <c r="F19" i="6" s="1"/>
  <c r="M8" i="5"/>
  <c r="C35" i="12" l="1"/>
  <c r="D35" i="12" s="1"/>
  <c r="D24" i="12"/>
  <c r="B37" i="12"/>
  <c r="E11" i="12"/>
  <c r="M33" i="5"/>
  <c r="L34" i="5"/>
  <c r="L10" i="5"/>
  <c r="M9" i="5"/>
  <c r="C37" i="12" l="1"/>
  <c r="D37" i="12" s="1"/>
  <c r="M34" i="5"/>
  <c r="L35" i="5"/>
  <c r="L36" i="5" s="1"/>
  <c r="L11" i="5"/>
  <c r="M10" i="5"/>
  <c r="M35" i="5" l="1"/>
  <c r="L12" i="5"/>
  <c r="M11" i="5"/>
  <c r="L37" i="5" l="1"/>
  <c r="M36" i="5"/>
  <c r="L13" i="5"/>
  <c r="M12" i="5"/>
  <c r="L38" i="5" l="1"/>
  <c r="M37" i="5"/>
  <c r="L14" i="5"/>
  <c r="M13" i="5"/>
  <c r="M38" i="5" l="1"/>
  <c r="L39" i="5"/>
  <c r="M14" i="5"/>
  <c r="M39" i="5" l="1"/>
  <c r="L40" i="5"/>
  <c r="L41" i="5" s="1"/>
  <c r="L42" i="5" l="1"/>
  <c r="M42" i="5" s="1"/>
  <c r="M41" i="5"/>
  <c r="M40" i="5"/>
  <c r="B20" i="2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david.banda</author>
  </authors>
  <commentList>
    <comment ref="C6" authorId="0" shapeId="0" xr:uid="{BEA0BC4C-ED1C-4AE5-8F8D-7ED888BB1FBA}">
      <text>
        <r>
          <rPr>
            <b/>
            <sz val="9"/>
            <color indexed="81"/>
            <rFont val="Tahoma"/>
            <charset val="1"/>
          </rPr>
          <t>david.banda:</t>
        </r>
        <r>
          <rPr>
            <sz val="9"/>
            <color indexed="81"/>
            <rFont val="Tahoma"/>
            <charset val="1"/>
          </rPr>
          <t xml:space="preserve">
Necesito sacar el mole + lo del sistema
</t>
        </r>
      </text>
    </comment>
  </commentList>
</comments>
</file>

<file path=xl/sharedStrings.xml><?xml version="1.0" encoding="utf-8"?>
<sst xmlns="http://schemas.openxmlformats.org/spreadsheetml/2006/main" count="1030" uniqueCount="387">
  <si>
    <t>Desarrollo</t>
  </si>
  <si>
    <t>Tarea</t>
  </si>
  <si>
    <t>Planificación</t>
  </si>
  <si>
    <t>Fecha</t>
  </si>
  <si>
    <t>Hora</t>
  </si>
  <si>
    <t>Frecuencia</t>
  </si>
  <si>
    <t>Notas</t>
  </si>
  <si>
    <t>GIG_01</t>
  </si>
  <si>
    <t>00_Backup</t>
  </si>
  <si>
    <t>13 horas</t>
  </si>
  <si>
    <t>Hora UTC: 07:00</t>
  </si>
  <si>
    <t>08_Save_Data_All</t>
  </si>
  <si>
    <t>11 horas 58 minutos</t>
  </si>
  <si>
    <t>Hora no valida</t>
  </si>
  <si>
    <t>09_Import_Dim_OPEX_OCMURG_To_DWH</t>
  </si>
  <si>
    <t>Diariamente</t>
  </si>
  <si>
    <t>Hora UTC: 05:00</t>
  </si>
  <si>
    <t>Upload_04_OPEX_08_OCMUR_Consolida_PPTO</t>
  </si>
  <si>
    <t>Upload_04_OPEX_08_OCMUR_Consolida_REAL</t>
  </si>
  <si>
    <t>Hora UTC: 12:00</t>
  </si>
  <si>
    <t>Upload_All_Model_On_Demand</t>
  </si>
  <si>
    <t>Hora UTC: 10:30</t>
  </si>
  <si>
    <t>Upload_DIM_GOP_01_Gerencias_Operaciones</t>
  </si>
  <si>
    <t>Hora UTC: 07:50</t>
  </si>
  <si>
    <t>Upload_DWH_Data_04_OPEX_08_OCMUR_Consolida_PPTO</t>
  </si>
  <si>
    <t>Hora UTC: 07:30</t>
  </si>
  <si>
    <t>GIG_02</t>
  </si>
  <si>
    <t>Hora UTC: 01:00</t>
  </si>
  <si>
    <t>05_Save_Data_All</t>
  </si>
  <si>
    <t>12 horas</t>
  </si>
  <si>
    <t>Hora no válida</t>
  </si>
  <si>
    <t>Upload_All_Models</t>
  </si>
  <si>
    <t>Hora UTC: 11:00</t>
  </si>
  <si>
    <t>Hora UTC: 07:40</t>
  </si>
  <si>
    <t>GIG_03</t>
  </si>
  <si>
    <t>04_SaveData_All</t>
  </si>
  <si>
    <t>Import_Dim_Cuentas_Costos_Ingresos_To_DWH</t>
  </si>
  <si>
    <t>Hora UTC: 11:30</t>
  </si>
  <si>
    <t>Hora UTC: 07:55</t>
  </si>
  <si>
    <t>GIG_04</t>
  </si>
  <si>
    <t>02_Import_Data_01_KPI_Calculos_To_02_KPI_Metric_E3_B</t>
  </si>
  <si>
    <t>Hora UTC: 13:50</t>
  </si>
  <si>
    <t>02_Import_Data_From_01_02_03_To_01_KPI_Calculos_E3_A</t>
  </si>
  <si>
    <t>Hora UTC: 13:40</t>
  </si>
  <si>
    <t>ALL_GIG04</t>
  </si>
  <si>
    <t>Hora UTC: 05:45</t>
  </si>
  <si>
    <t>GIG_05</t>
  </si>
  <si>
    <t xml:space="preserve"> 00_Backup</t>
  </si>
  <si>
    <t>Hora UTC: 10:00</t>
  </si>
  <si>
    <t>01_Import_Dim_00_COSTOS_Gerencia_Operaciones</t>
  </si>
  <si>
    <t>01_Import_Dim_00_COSTOS_Partida_Urbano</t>
  </si>
  <si>
    <t xml:space="preserve"> 03_Export_15_POA_inicios_Terminos_To_DWH</t>
  </si>
  <si>
    <t>Hora UTC: 04:00</t>
  </si>
  <si>
    <t>AD_DED TO DWH</t>
  </si>
  <si>
    <t>ADD_DED_TO_DWH_VER</t>
  </si>
  <si>
    <t>Costo_Real_TO_CUBE_COSTOS</t>
  </si>
  <si>
    <t>Hora UTC: 14:00</t>
  </si>
  <si>
    <t>COSTO_URB TO DWH</t>
  </si>
  <si>
    <t>COSTO_VER_DWH</t>
  </si>
  <si>
    <t>PRON_DWH_TO_TM1_URB</t>
  </si>
  <si>
    <t>Hora UTC: 13:11</t>
  </si>
  <si>
    <t>PRON_DWH_TO_TM1_VER</t>
  </si>
  <si>
    <t>Hora UTC: 1:33</t>
  </si>
  <si>
    <t>PRON_TO_AUTO_URB</t>
  </si>
  <si>
    <t>Hora UTC: 5:15</t>
  </si>
  <si>
    <t xml:space="preserve"> PRON_TO_AUTO_VER</t>
  </si>
  <si>
    <t>Hora UTC: 5:00</t>
  </si>
  <si>
    <t>Hora UTC: 12:03</t>
  </si>
  <si>
    <t>Hora UTC: 12:06</t>
  </si>
  <si>
    <t>Hora UTC: 12:09</t>
  </si>
  <si>
    <t>Hora UTC: 12:12</t>
  </si>
  <si>
    <t>Ahorro yo</t>
  </si>
  <si>
    <t>deuda santa</t>
  </si>
  <si>
    <t>diferencia</t>
  </si>
  <si>
    <t>Prestamo auto roña</t>
  </si>
  <si>
    <t>Deuda Madre</t>
  </si>
  <si>
    <t>Pagos</t>
  </si>
  <si>
    <t>Mes</t>
  </si>
  <si>
    <t>cantidad</t>
  </si>
  <si>
    <t>acumulado</t>
  </si>
  <si>
    <t>Supuesto</t>
  </si>
  <si>
    <t>tanda</t>
  </si>
  <si>
    <t>aguinaldo</t>
  </si>
  <si>
    <t>deuda real</t>
  </si>
  <si>
    <t>interes</t>
  </si>
  <si>
    <t>deuda base</t>
  </si>
  <si>
    <t>suma</t>
  </si>
  <si>
    <t>extras</t>
  </si>
  <si>
    <t>Noviembre</t>
  </si>
  <si>
    <t>Diciembre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</si>
  <si>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</si>
  <si>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</si>
  <si>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</si>
  <si>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</si>
  <si>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</si>
  <si>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</si>
  <si>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</si>
  <si>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</si>
  <si>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</si>
  <si>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</si>
  <si>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Extras</t>
  </si>
  <si>
    <t>saldo</t>
  </si>
  <si>
    <t>Sueldo Normal Mes</t>
  </si>
  <si>
    <t>Quincena</t>
  </si>
  <si>
    <t>Vales</t>
  </si>
  <si>
    <t>Ingresos David</t>
  </si>
  <si>
    <t>Renta</t>
  </si>
  <si>
    <t>Gas</t>
  </si>
  <si>
    <t>Luz</t>
  </si>
  <si>
    <t>MercadoPago</t>
  </si>
  <si>
    <t>Coppel</t>
  </si>
  <si>
    <t>Prestamo madre</t>
  </si>
  <si>
    <t>despensa y comida</t>
  </si>
  <si>
    <t>total</t>
  </si>
  <si>
    <t>bbva</t>
  </si>
  <si>
    <t>ahorro atos</t>
  </si>
  <si>
    <t>ado</t>
  </si>
  <si>
    <t>1000 UN</t>
  </si>
  <si>
    <t>tanda-aurrera</t>
  </si>
  <si>
    <t>deuda gris</t>
  </si>
  <si>
    <t>llanta</t>
  </si>
  <si>
    <t>refri</t>
  </si>
  <si>
    <t>ropa coppel</t>
  </si>
  <si>
    <t>Gas auto</t>
  </si>
  <si>
    <t>prima vacas/aguinaldo</t>
  </si>
  <si>
    <t>Carro</t>
  </si>
  <si>
    <t>Regalo gris</t>
  </si>
  <si>
    <t>Concierto</t>
  </si>
  <si>
    <t>Reyes/Navidad</t>
  </si>
  <si>
    <t>Plan A</t>
  </si>
  <si>
    <t>Plan B</t>
  </si>
  <si>
    <t>Plan C</t>
  </si>
  <si>
    <t>Abono madre</t>
  </si>
  <si>
    <t>Plan D</t>
  </si>
  <si>
    <t>Liquidar saldo ML</t>
  </si>
  <si>
    <t>Plan Deudas</t>
  </si>
  <si>
    <t>Abonar BBVA</t>
  </si>
  <si>
    <t>boleto francisco</t>
  </si>
  <si>
    <t>tot</t>
  </si>
  <si>
    <t>lo de la tanda va a ser para detallar el carro</t>
  </si>
  <si>
    <t>esperar por si sale algo caro del carro, pila por ejemplo</t>
  </si>
  <si>
    <t>Nu</t>
  </si>
  <si>
    <t>Citi</t>
  </si>
  <si>
    <t>agui</t>
  </si>
  <si>
    <t>regalo gris</t>
  </si>
  <si>
    <t>cumple gris</t>
  </si>
  <si>
    <t xml:space="preserve">cumple gab </t>
  </si>
  <si>
    <t>pilotos</t>
  </si>
  <si>
    <t>stray kids</t>
  </si>
  <si>
    <t>carro</t>
  </si>
  <si>
    <t>guardar pal carro</t>
  </si>
  <si>
    <t>coppel</t>
  </si>
  <si>
    <t>regalo gab</t>
  </si>
  <si>
    <t>pedirle a la Gaby algo o como va a pagar su mochila</t>
  </si>
  <si>
    <t>comida</t>
  </si>
  <si>
    <t>No tan probable 500 renta</t>
  </si>
  <si>
    <t>Gris me debe 722 coppel</t>
  </si>
  <si>
    <t>me deben 250 de la luz ma</t>
  </si>
  <si>
    <t>sueldo quincenal</t>
  </si>
  <si>
    <t>Gastos</t>
  </si>
  <si>
    <t>Internet</t>
  </si>
  <si>
    <t>Gasto semanal</t>
  </si>
  <si>
    <t>Mecánico</t>
  </si>
  <si>
    <t>Tanda</t>
  </si>
  <si>
    <t xml:space="preserve">Madre </t>
  </si>
  <si>
    <t>Citi Q1</t>
  </si>
  <si>
    <t>Resta</t>
  </si>
  <si>
    <t>ML</t>
  </si>
  <si>
    <t xml:space="preserve">Para la última quincena de enero debo de juntar $3640 </t>
  </si>
  <si>
    <t>Didi</t>
  </si>
  <si>
    <t>prestamo</t>
  </si>
  <si>
    <t>despues de pagos</t>
  </si>
  <si>
    <t>Se podría arreglar auto y/o invertir</t>
  </si>
  <si>
    <t>Q1</t>
  </si>
  <si>
    <t>Q2</t>
  </si>
  <si>
    <t>Reparaciones carro</t>
  </si>
  <si>
    <t>Detalles actuales</t>
  </si>
  <si>
    <t>Llantas</t>
  </si>
  <si>
    <t>Papeles</t>
  </si>
  <si>
    <t>Otros</t>
  </si>
  <si>
    <t>Licencia</t>
  </si>
  <si>
    <t>Verificar</t>
  </si>
  <si>
    <t>Multa Verificar</t>
  </si>
  <si>
    <t>GASTO</t>
  </si>
  <si>
    <t>CITI</t>
  </si>
  <si>
    <t>RESTAN</t>
  </si>
  <si>
    <t>NU</t>
  </si>
  <si>
    <t>TPS DEVOLUCIÓN</t>
  </si>
  <si>
    <t>DINERO CHOCO</t>
  </si>
  <si>
    <t>Ingresos</t>
  </si>
  <si>
    <t>Dinero guardado</t>
  </si>
  <si>
    <t>Dinero de ventas</t>
  </si>
  <si>
    <t>Pago Citi</t>
  </si>
  <si>
    <t>Madre</t>
  </si>
  <si>
    <t>Colcha gaby</t>
  </si>
  <si>
    <t>Comidas</t>
  </si>
  <si>
    <t>venta oax</t>
  </si>
  <si>
    <t>debo aprox</t>
  </si>
  <si>
    <t>venta combinada</t>
  </si>
  <si>
    <t>*</t>
  </si>
  <si>
    <t>Ingreso nomral aprox</t>
  </si>
  <si>
    <t>ahorro</t>
  </si>
  <si>
    <t>comidas</t>
  </si>
  <si>
    <t>deudas y diversión</t>
  </si>
  <si>
    <t>Integrante</t>
  </si>
  <si>
    <t>Compras en super</t>
  </si>
  <si>
    <t>Compras en mayoreo</t>
  </si>
  <si>
    <t>Dara</t>
  </si>
  <si>
    <t>Gris</t>
  </si>
  <si>
    <t>David</t>
  </si>
  <si>
    <t>TOTAL</t>
  </si>
  <si>
    <t>Mayoreo</t>
  </si>
  <si>
    <t>Tarjeta Citi</t>
  </si>
  <si>
    <t>Tarjeta Un</t>
  </si>
  <si>
    <t xml:space="preserve">por ahora </t>
  </si>
  <si>
    <t>me debe 1000 mi tía</t>
  </si>
  <si>
    <t>compras super</t>
  </si>
  <si>
    <t>mas lo de san angel</t>
  </si>
  <si>
    <t>2291 total</t>
  </si>
  <si>
    <t>Semanas</t>
  </si>
  <si>
    <t>Tengo en cartera</t>
  </si>
  <si>
    <t>en cajita</t>
  </si>
  <si>
    <t>Voy a usar la caja como dinero de la semana, me restan</t>
  </si>
  <si>
    <t>puedo retirar o guardarlo</t>
  </si>
  <si>
    <t>sacar</t>
  </si>
  <si>
    <t>TOTAL GASTOS</t>
  </si>
  <si>
    <t>POSIBLE AHORRO</t>
  </si>
  <si>
    <t>Según mi cuenta solo dispongo de esto para deudas o diversión</t>
  </si>
  <si>
    <t>Con el dinero que tengo quizás hago</t>
  </si>
  <si>
    <t>Sacar licencia</t>
  </si>
  <si>
    <t>Checar lo de el bulbo</t>
  </si>
  <si>
    <t>checar mis luces con el electrico o alguien más</t>
  </si>
  <si>
    <t>me falta sacar 1000, los otros los tomare de franc y gaby</t>
  </si>
  <si>
    <t>lo engo en la tarjeta</t>
  </si>
  <si>
    <t>Ahorrado fisico</t>
  </si>
  <si>
    <t>Ahorrado banca</t>
  </si>
  <si>
    <t>Pagos 28-02 al 13-03</t>
  </si>
  <si>
    <t>Tarjeta nu</t>
  </si>
  <si>
    <t>Tratar de amarrarlos para pagar mis deudas de la citi</t>
  </si>
  <si>
    <t>tanda gris</t>
  </si>
  <si>
    <t>s1</t>
  </si>
  <si>
    <t>s2</t>
  </si>
  <si>
    <t>Pagos 14-03 al 30-03</t>
  </si>
  <si>
    <t>Pagos 31-03 al 14-03</t>
  </si>
  <si>
    <t>Cumple Dara</t>
  </si>
  <si>
    <t>jan</t>
  </si>
  <si>
    <t>san angel</t>
  </si>
  <si>
    <t>yo</t>
  </si>
  <si>
    <t>q2</t>
  </si>
  <si>
    <t>deuda citi</t>
  </si>
  <si>
    <t>Gastos de la fiestilla</t>
  </si>
  <si>
    <t>Prestamo paralquidar Santander (madre)</t>
  </si>
  <si>
    <t>Después de pagar esta quincena</t>
  </si>
  <si>
    <t>Prestamo carro</t>
  </si>
  <si>
    <t>BBVA crédito</t>
  </si>
  <si>
    <t>ML prestamo</t>
  </si>
  <si>
    <t>ML Credito</t>
  </si>
  <si>
    <t>CITI Credito</t>
  </si>
  <si>
    <t>Coppel yo</t>
  </si>
  <si>
    <t>Banorte</t>
  </si>
  <si>
    <t>Mercado Pago</t>
  </si>
  <si>
    <t>Stori</t>
  </si>
  <si>
    <t>Lo que coppel te presta</t>
  </si>
  <si>
    <t>Lo que debes</t>
  </si>
  <si>
    <t>Resto</t>
  </si>
  <si>
    <t>cebolla</t>
  </si>
  <si>
    <t>Papa</t>
  </si>
  <si>
    <t>chorizo</t>
  </si>
  <si>
    <t>tortilla</t>
  </si>
  <si>
    <t>manteca</t>
  </si>
  <si>
    <t>chile guajillo</t>
  </si>
  <si>
    <t>aluminio</t>
  </si>
  <si>
    <t>frijol</t>
  </si>
  <si>
    <t>PAQUETES</t>
  </si>
  <si>
    <t>sema</t>
  </si>
  <si>
    <t>Puto carro</t>
  </si>
  <si>
    <t>.-</t>
  </si>
  <si>
    <t>Llanta</t>
  </si>
  <si>
    <t>S1</t>
  </si>
  <si>
    <t>TOTAL GASTO</t>
  </si>
  <si>
    <t>Gasto méxico</t>
  </si>
  <si>
    <t>Prestamo méxico Beto</t>
  </si>
  <si>
    <t>Prestamo méxico Chico</t>
  </si>
  <si>
    <t>tengo fisico</t>
  </si>
  <si>
    <t>buscar dejarlo en 3000</t>
  </si>
  <si>
    <t>AHORRO</t>
  </si>
  <si>
    <t>Prestamo boletos chico</t>
  </si>
  <si>
    <t>Frank</t>
  </si>
  <si>
    <t>Gasto comida</t>
  </si>
  <si>
    <t>Salario</t>
  </si>
  <si>
    <t>Relación salarial</t>
  </si>
  <si>
    <t>Arreglos moto</t>
  </si>
  <si>
    <t>Guardería Dara</t>
  </si>
  <si>
    <t>De lo que sobre de moto y/o Gas se ocupa en deudas</t>
  </si>
  <si>
    <t>Por ahora no suman, esto es lo que debería abonar la siguiente quincena</t>
  </si>
  <si>
    <t>Quiero que realmente sea un ahorro</t>
  </si>
  <si>
    <t>ropa</t>
  </si>
  <si>
    <t>Sueldo 1</t>
  </si>
  <si>
    <t>Compras super</t>
  </si>
  <si>
    <t>Gasolina</t>
  </si>
  <si>
    <t>Guardería</t>
  </si>
  <si>
    <t>RESTO</t>
  </si>
  <si>
    <t>Insumos bebé</t>
  </si>
  <si>
    <t>TOTAL MENSUAL</t>
  </si>
  <si>
    <t>P.M. AL MES</t>
  </si>
  <si>
    <t>P.M. A LA SEMANA</t>
  </si>
  <si>
    <t>P.M. A LA QUINCENA</t>
  </si>
  <si>
    <t>Deudas varias</t>
  </si>
  <si>
    <t>Semana</t>
  </si>
  <si>
    <t>Chico</t>
  </si>
  <si>
    <t>Reinscripción Dara</t>
  </si>
  <si>
    <t>Regalo Adán</t>
  </si>
  <si>
    <t>Gasto Gris CDMX</t>
  </si>
  <si>
    <t>La siguientes semanas guardaré 1450 por quincena hasta cubrir pagos Dara</t>
  </si>
  <si>
    <t>En tarjeta</t>
  </si>
  <si>
    <t>Lo que he gastado</t>
  </si>
  <si>
    <t>consulta dara y chcharas</t>
  </si>
  <si>
    <t>La 2da semana</t>
  </si>
  <si>
    <t>900 ya los saqué</t>
  </si>
  <si>
    <t>dejar para regalos</t>
  </si>
  <si>
    <t>Sacar 2600, apartar 1500</t>
  </si>
  <si>
    <t>Plan de gastos</t>
  </si>
  <si>
    <t>TDC Coppel</t>
  </si>
  <si>
    <t>Gas casa</t>
  </si>
  <si>
    <t>No lo cuento por que me lo dará Gris</t>
  </si>
  <si>
    <t>Le resto 600 de lo que me da Gris</t>
  </si>
  <si>
    <t>Hosting Lemus</t>
  </si>
  <si>
    <t>Dado que ya me gasté ese dinero…</t>
  </si>
  <si>
    <t>Las semanas de despensa no deben superar 900 que es lo que coopera Chicorita</t>
  </si>
  <si>
    <t>Se compra hoy 14 y el 21</t>
  </si>
  <si>
    <t>La mitad esta Q, el 25 del mes acompleto</t>
  </si>
  <si>
    <t>Prestamo Coppel</t>
  </si>
  <si>
    <t>Abono coppel</t>
  </si>
  <si>
    <t>COPPEL MADRE</t>
  </si>
  <si>
    <t>Tarejta coppel</t>
  </si>
  <si>
    <t>renta</t>
  </si>
  <si>
    <t>Ahorrado banca, viaticos</t>
  </si>
  <si>
    <t>Estudios Gris</t>
  </si>
  <si>
    <t>Tarjeta coppel</t>
  </si>
  <si>
    <t>Estimado ahorro q1 - dic</t>
  </si>
  <si>
    <t>guardado ahorro job</t>
  </si>
  <si>
    <t>Aguinaldo</t>
  </si>
  <si>
    <t>Meta ahorro para salir a Oax</t>
  </si>
  <si>
    <t>gasto</t>
  </si>
  <si>
    <t>viaje</t>
  </si>
  <si>
    <t>pachanga</t>
  </si>
  <si>
    <t>banca</t>
  </si>
  <si>
    <t>menos guard</t>
  </si>
  <si>
    <t>menos net</t>
  </si>
  <si>
    <t>Gaby prestado</t>
  </si>
  <si>
    <t>Churros</t>
  </si>
  <si>
    <t>Para el 7 de sept</t>
  </si>
  <si>
    <t>chico</t>
  </si>
  <si>
    <t>Despensa</t>
  </si>
  <si>
    <t>si guaro 1k cada quincena</t>
  </si>
  <si>
    <t>Deuda Gaby</t>
  </si>
  <si>
    <t>+ 500 de la semana pasada</t>
  </si>
  <si>
    <t>Consulta Gris</t>
  </si>
  <si>
    <t>Prestamo</t>
  </si>
  <si>
    <t>Tarjeta</t>
  </si>
  <si>
    <t>Lo de chico</t>
  </si>
  <si>
    <t>Faros</t>
  </si>
  <si>
    <t>Revisión mecánica</t>
  </si>
  <si>
    <t>Arreglo electrico</t>
  </si>
  <si>
    <t>Presupuesto estimado</t>
  </si>
  <si>
    <t>Total</t>
  </si>
  <si>
    <t>Restan</t>
  </si>
  <si>
    <t>menos carro</t>
  </si>
  <si>
    <t>Aporte gris</t>
  </si>
  <si>
    <t>Salida Adán</t>
  </si>
  <si>
    <t>Salida Madre</t>
  </si>
  <si>
    <t>Arreglo meca putin</t>
  </si>
  <si>
    <t>prima vac</t>
  </si>
  <si>
    <t>Ahorro desde nov</t>
  </si>
  <si>
    <t>cel nuevo</t>
  </si>
  <si>
    <t>total oax</t>
  </si>
  <si>
    <t>Ahorro restante</t>
  </si>
  <si>
    <t>Prima vacacional</t>
  </si>
  <si>
    <t>Gente que me debe fería</t>
  </si>
  <si>
    <t>prestamo coppel</t>
  </si>
  <si>
    <t>xbox</t>
  </si>
  <si>
    <t>Gaby</t>
  </si>
  <si>
    <t>prestamo 12 Nov</t>
  </si>
  <si>
    <t>Boleto ADO</t>
  </si>
  <si>
    <t>Prestamos Oax</t>
  </si>
  <si>
    <t>PAGADO</t>
  </si>
  <si>
    <t>PAGO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</si>
</sst>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6" formatCode="&quot;$&quot;#,##0;[Red]\-&quot;$&quot;#,##0"/>
    <numFmt numFmtId="44" formatCode="_-&quot;$&quot;* #,##0.00_-;\-&quot;$&quot;* #,##0.00_-;_-&quot;$&quot;* &quot;-&quot;??_-;_-@_-"/>
    <numFmt numFmtId="164" formatCode="yyyy/mm/dd"/>
    <numFmt numFmtId="165" formatCode="yyyy/m/d"/>
    <numFmt numFmtId="166" formatCode="[$-F400]h:mm:ss\ AM/PM"/>
  </numFmts>
  <fonts count="16" x14ac:knownFonts="1">
    <font>
      <sz val="10"/>
      <color rgb="FF000000"/>
      <name val="Arial"/>
      <scheme val="minor"/>
    </font>
    <font>
      <b/>
      <sz val="12"/>
      <color theme="1"/>
      <name val="Arial"/>
      <scheme val="minor"/>
    </font>
    <font>
      <sz val="10"/>
      <name val="Arial"/>
    </font>
    <font>
      <b/>
      <sz val="10"/>
      <color theme="1"/>
      <name val="Arial"/>
      <scheme val="minor"/>
    </font>
    <font>
      <sz val="10"/>
      <color theme="1"/>
      <name val="Arial"/>
      <scheme val="minor"/>
    </font>
    <font>
      <b/>
      <sz val="12"/>
      <color theme="1"/>
      <name val="Arial"/>
    </font>
    <font>
      <sz val="10"/>
      <color theme="1"/>
      <name val="Arial"/>
    </font>
    <font>
      <b/>
      <sz val="10"/>
      <color theme="1"/>
      <name val="Arial"/>
    </font>
    <font>
      <sz val="10"/>
      <color rgb="FF000000"/>
      <name val="Arial"/>
      <scheme val="minor"/>
    </font>
    <font>
      <sz val="8"/>
      <name val="Arial"/>
      <scheme val="minor"/>
    </font>
    <font>
      <sz val="10"/>
      <name val="Arial"/>
      <family val="2"/>
      <scheme val="minor"/>
    </font>
    <font>
      <sz val="10"/>
      <color rgb="FF000000"/>
      <name val="Arial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0"/>
      <color theme="0"/>
      <name val="Arial"/>
      <family val="2"/>
      <scheme val="minor"/>
    </font>
    <font>
      <b/>
      <sz val="10"/>
      <name val="Arial"/>
      <family val="2"/>
      <scheme val="minor"/>
    </font>
  </fonts>
  <fills count="28">
    <fill>
      <patternFill patternType="none"/>
    </fill>
    <fill>
      <patternFill patternType="gray125"/>
    </fill>
    <fill>
      <patternFill patternType="solid">
        <fgColor rgb="FFB7B7B7"/>
        <bgColor rgb="FFB7B7B7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3" tint="0.499984740745262"/>
        <bgColor indexed="64"/>
      </patternFill>
    </fill>
  </fills>
  <borders count="2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8" fillId="0" borderId="0" applyFont="0" applyFill="0" applyBorder="0" applyAlignment="0" applyProtection="0"/>
    <xf numFmtId="9" fontId="8" fillId="0" borderId="0" applyFont="0" applyFill="0" applyBorder="0" applyAlignment="0" applyProtection="0"/>
  </cellStyleXfs>
  <cellXfs count="116">
    <xf numFmtId="0" fontId="0" fillId="0" borderId="0" xfId="0"/>
    <xf numFmtId="0" fontId="3" fillId="2" borderId="6" xfId="0" applyFont="1" applyFill="1" applyBorder="1" applyAlignment="1">
      <alignment horizontal="center" vertical="center"/>
    </xf>
    <xf numFmtId="0" fontId="4" fillId="0" borderId="6" xfId="0" applyFont="1" applyBorder="1"/>
    <xf numFmtId="164" fontId="4" fillId="0" borderId="6" xfId="0" applyNumberFormat="1" applyFont="1" applyBorder="1"/>
    <xf numFmtId="20" fontId="4" fillId="0" borderId="6" xfId="0" applyNumberFormat="1" applyFont="1" applyBorder="1"/>
    <xf numFmtId="0" fontId="4" fillId="0" borderId="8" xfId="0" applyFont="1" applyBorder="1"/>
    <xf numFmtId="0" fontId="4" fillId="3" borderId="6" xfId="0" applyFont="1" applyFill="1" applyBorder="1"/>
    <xf numFmtId="165" fontId="4" fillId="3" borderId="6" xfId="0" applyNumberFormat="1" applyFont="1" applyFill="1" applyBorder="1"/>
    <xf numFmtId="20" fontId="4" fillId="3" borderId="6" xfId="0" applyNumberFormat="1" applyFont="1" applyFill="1" applyBorder="1"/>
    <xf numFmtId="0" fontId="4" fillId="3" borderId="8" xfId="0" applyFont="1" applyFill="1" applyBorder="1"/>
    <xf numFmtId="0" fontId="4" fillId="3" borderId="0" xfId="0" applyFont="1" applyFill="1"/>
    <xf numFmtId="165" fontId="4" fillId="0" borderId="6" xfId="0" applyNumberFormat="1" applyFont="1" applyBorder="1"/>
    <xf numFmtId="0" fontId="4" fillId="0" borderId="11" xfId="0" applyFont="1" applyBorder="1"/>
    <xf numFmtId="165" fontId="4" fillId="0" borderId="11" xfId="0" applyNumberFormat="1" applyFont="1" applyBorder="1"/>
    <xf numFmtId="20" fontId="4" fillId="0" borderId="11" xfId="0" applyNumberFormat="1" applyFont="1" applyBorder="1"/>
    <xf numFmtId="0" fontId="4" fillId="0" borderId="12" xfId="0" applyFont="1" applyBorder="1"/>
    <xf numFmtId="0" fontId="4" fillId="0" borderId="5" xfId="0" applyFont="1" applyBorder="1"/>
    <xf numFmtId="164" fontId="4" fillId="0" borderId="5" xfId="0" applyNumberFormat="1" applyFont="1" applyBorder="1"/>
    <xf numFmtId="20" fontId="4" fillId="0" borderId="5" xfId="0" applyNumberFormat="1" applyFont="1" applyBorder="1"/>
    <xf numFmtId="0" fontId="4" fillId="0" borderId="13" xfId="0" applyFont="1" applyBorder="1"/>
    <xf numFmtId="164" fontId="4" fillId="3" borderId="6" xfId="0" applyNumberFormat="1" applyFont="1" applyFill="1" applyBorder="1"/>
    <xf numFmtId="164" fontId="4" fillId="0" borderId="11" xfId="0" applyNumberFormat="1" applyFont="1" applyBorder="1"/>
    <xf numFmtId="0" fontId="6" fillId="0" borderId="0" xfId="0" applyFont="1"/>
    <xf numFmtId="0" fontId="7" fillId="2" borderId="15" xfId="0" applyFont="1" applyFill="1" applyBorder="1" applyAlignment="1">
      <alignment horizontal="center"/>
    </xf>
    <xf numFmtId="0" fontId="6" fillId="0" borderId="15" xfId="0" applyFont="1" applyBorder="1"/>
    <xf numFmtId="164" fontId="6" fillId="0" borderId="15" xfId="0" applyNumberFormat="1" applyFont="1" applyBorder="1" applyAlignment="1">
      <alignment horizontal="right"/>
    </xf>
    <xf numFmtId="20" fontId="6" fillId="0" borderId="15" xfId="0" applyNumberFormat="1" applyFont="1" applyBorder="1" applyAlignment="1">
      <alignment horizontal="right"/>
    </xf>
    <xf numFmtId="0" fontId="6" fillId="0" borderId="16" xfId="0" applyFont="1" applyBorder="1"/>
    <xf numFmtId="20" fontId="6" fillId="0" borderId="0" xfId="0" applyNumberFormat="1" applyFont="1" applyAlignment="1">
      <alignment horizontal="right"/>
    </xf>
    <xf numFmtId="165" fontId="6" fillId="0" borderId="15" xfId="0" applyNumberFormat="1" applyFont="1" applyBorder="1" applyAlignment="1">
      <alignment horizontal="right"/>
    </xf>
    <xf numFmtId="0" fontId="6" fillId="0" borderId="17" xfId="0" applyFont="1" applyBorder="1"/>
    <xf numFmtId="165" fontId="6" fillId="0" borderId="17" xfId="0" applyNumberFormat="1" applyFont="1" applyBorder="1" applyAlignment="1">
      <alignment horizontal="right"/>
    </xf>
    <xf numFmtId="20" fontId="6" fillId="0" borderId="17" xfId="0" applyNumberFormat="1" applyFont="1" applyBorder="1" applyAlignment="1">
      <alignment horizontal="right"/>
    </xf>
    <xf numFmtId="0" fontId="6" fillId="0" borderId="18" xfId="0" applyFont="1" applyBorder="1"/>
    <xf numFmtId="164" fontId="6" fillId="0" borderId="17" xfId="0" applyNumberFormat="1" applyFont="1" applyBorder="1" applyAlignment="1">
      <alignment horizontal="right"/>
    </xf>
    <xf numFmtId="164" fontId="6" fillId="0" borderId="17" xfId="0" applyNumberFormat="1" applyFont="1" applyBorder="1"/>
    <xf numFmtId="20" fontId="4" fillId="0" borderId="0" xfId="0" applyNumberFormat="1" applyFont="1"/>
    <xf numFmtId="166" fontId="0" fillId="0" borderId="0" xfId="0" applyNumberFormat="1"/>
    <xf numFmtId="166" fontId="6" fillId="0" borderId="15" xfId="0" applyNumberFormat="1" applyFont="1" applyBorder="1" applyAlignment="1">
      <alignment horizontal="right"/>
    </xf>
    <xf numFmtId="0" fontId="6" fillId="4" borderId="15" xfId="0" applyFont="1" applyFill="1" applyBorder="1"/>
    <xf numFmtId="44" fontId="0" fillId="0" borderId="0" xfId="1" applyFont="1"/>
    <xf numFmtId="44" fontId="0" fillId="0" borderId="0" xfId="0" applyNumberFormat="1"/>
    <xf numFmtId="9" fontId="0" fillId="0" borderId="0" xfId="2" applyFont="1"/>
    <xf numFmtId="0" fontId="0" fillId="4" borderId="0" xfId="0" applyFill="1"/>
    <xf numFmtId="44" fontId="0" fillId="4" borderId="0" xfId="1" applyFont="1" applyFill="1"/>
    <xf numFmtId="16" fontId="0" fillId="0" borderId="0" xfId="0" applyNumberFormat="1"/>
    <xf numFmtId="0" fontId="0" fillId="5" borderId="0" xfId="0" applyFill="1"/>
    <xf numFmtId="44" fontId="0" fillId="5" borderId="0" xfId="0" applyNumberFormat="1" applyFill="1"/>
    <xf numFmtId="44" fontId="0" fillId="4" borderId="0" xfId="0" applyNumberFormat="1" applyFill="1"/>
    <xf numFmtId="44" fontId="0" fillId="6" borderId="0" xfId="0" applyNumberFormat="1" applyFill="1"/>
    <xf numFmtId="0" fontId="0" fillId="6" borderId="0" xfId="0" applyFill="1"/>
    <xf numFmtId="0" fontId="0" fillId="7" borderId="0" xfId="0" applyFill="1"/>
    <xf numFmtId="0" fontId="0" fillId="8" borderId="0" xfId="0" applyFill="1"/>
    <xf numFmtId="44" fontId="0" fillId="9" borderId="0" xfId="1" applyFont="1" applyFill="1"/>
    <xf numFmtId="44" fontId="0" fillId="10" borderId="0" xfId="1" applyFont="1" applyFill="1"/>
    <xf numFmtId="44" fontId="0" fillId="0" borderId="0" xfId="1" applyFont="1" applyFill="1"/>
    <xf numFmtId="44" fontId="0" fillId="11" borderId="0" xfId="1" applyFont="1" applyFill="1"/>
    <xf numFmtId="0" fontId="0" fillId="0" borderId="0" xfId="0" applyAlignment="1">
      <alignment wrapText="1"/>
    </xf>
    <xf numFmtId="0" fontId="10" fillId="0" borderId="0" xfId="0" applyFont="1"/>
    <xf numFmtId="44" fontId="10" fillId="0" borderId="0" xfId="0" applyNumberFormat="1" applyFont="1"/>
    <xf numFmtId="0" fontId="11" fillId="7" borderId="0" xfId="0" applyFont="1" applyFill="1"/>
    <xf numFmtId="0" fontId="11" fillId="0" borderId="0" xfId="0" applyFont="1"/>
    <xf numFmtId="0" fontId="11" fillId="0" borderId="0" xfId="0" applyFont="1" applyAlignment="1">
      <alignment wrapText="1"/>
    </xf>
    <xf numFmtId="44" fontId="11" fillId="0" borderId="19" xfId="0" applyNumberFormat="1" applyFont="1" applyBorder="1"/>
    <xf numFmtId="44" fontId="0" fillId="0" borderId="19" xfId="0" applyNumberFormat="1" applyBorder="1"/>
    <xf numFmtId="0" fontId="11" fillId="0" borderId="19" xfId="0" applyFont="1" applyBorder="1"/>
    <xf numFmtId="44" fontId="0" fillId="0" borderId="19" xfId="1" applyFont="1" applyBorder="1"/>
    <xf numFmtId="0" fontId="0" fillId="0" borderId="19" xfId="0" applyBorder="1"/>
    <xf numFmtId="0" fontId="11" fillId="12" borderId="0" xfId="0" applyFont="1" applyFill="1"/>
    <xf numFmtId="0" fontId="0" fillId="12" borderId="0" xfId="0" applyFill="1"/>
    <xf numFmtId="0" fontId="11" fillId="12" borderId="19" xfId="0" applyFont="1" applyFill="1" applyBorder="1"/>
    <xf numFmtId="44" fontId="0" fillId="12" borderId="19" xfId="1" applyFont="1" applyFill="1" applyBorder="1"/>
    <xf numFmtId="44" fontId="0" fillId="12" borderId="0" xfId="0" applyNumberFormat="1" applyFill="1"/>
    <xf numFmtId="0" fontId="0" fillId="6" borderId="0" xfId="0" applyFill="1" applyAlignment="1">
      <alignment wrapText="1"/>
    </xf>
    <xf numFmtId="44" fontId="0" fillId="13" borderId="0" xfId="0" applyNumberFormat="1" applyFill="1"/>
    <xf numFmtId="16" fontId="0" fillId="4" borderId="0" xfId="0" applyNumberFormat="1" applyFill="1"/>
    <xf numFmtId="44" fontId="0" fillId="5" borderId="0" xfId="1" applyFont="1" applyFill="1"/>
    <xf numFmtId="0" fontId="0" fillId="0" borderId="0" xfId="0" applyAlignment="1">
      <alignment horizontal="center"/>
    </xf>
    <xf numFmtId="0" fontId="0" fillId="14" borderId="0" xfId="0" applyFill="1"/>
    <xf numFmtId="0" fontId="0" fillId="15" borderId="0" xfId="0" applyFill="1"/>
    <xf numFmtId="0" fontId="0" fillId="16" borderId="0" xfId="0" applyFill="1"/>
    <xf numFmtId="0" fontId="0" fillId="17" borderId="0" xfId="0" applyFill="1"/>
    <xf numFmtId="0" fontId="0" fillId="18" borderId="0" xfId="0" applyFill="1"/>
    <xf numFmtId="0" fontId="0" fillId="19" borderId="0" xfId="0" applyFill="1"/>
    <xf numFmtId="16" fontId="0" fillId="20" borderId="0" xfId="0" applyNumberFormat="1" applyFill="1"/>
    <xf numFmtId="44" fontId="0" fillId="20" borderId="0" xfId="1" applyFont="1" applyFill="1"/>
    <xf numFmtId="0" fontId="0" fillId="20" borderId="0" xfId="0" applyFill="1"/>
    <xf numFmtId="0" fontId="14" fillId="21" borderId="0" xfId="0" applyFont="1" applyFill="1"/>
    <xf numFmtId="0" fontId="15" fillId="22" borderId="19" xfId="0" applyFont="1" applyFill="1" applyBorder="1"/>
    <xf numFmtId="0" fontId="0" fillId="23" borderId="0" xfId="0" applyFill="1"/>
    <xf numFmtId="0" fontId="0" fillId="24" borderId="0" xfId="0" applyFill="1"/>
    <xf numFmtId="0" fontId="11" fillId="4" borderId="0" xfId="0" applyFont="1" applyFill="1"/>
    <xf numFmtId="0" fontId="0" fillId="25" borderId="0" xfId="0" applyFill="1"/>
    <xf numFmtId="44" fontId="0" fillId="26" borderId="0" xfId="0" applyNumberFormat="1" applyFill="1"/>
    <xf numFmtId="0" fontId="0" fillId="11" borderId="0" xfId="0" applyFill="1"/>
    <xf numFmtId="6" fontId="0" fillId="0" borderId="0" xfId="0" applyNumberFormat="1"/>
    <xf numFmtId="0" fontId="0" fillId="27" borderId="0" xfId="0" applyFill="1"/>
    <xf numFmtId="0" fontId="0" fillId="0" borderId="0" xfId="0" quotePrefix="1"/>
    <xf numFmtId="0" fontId="4" fillId="0" borderId="9" xfId="0" applyFont="1" applyBorder="1" applyAlignment="1">
      <alignment vertical="center"/>
    </xf>
    <xf numFmtId="0" fontId="2" fillId="0" borderId="9" xfId="0" applyFont="1" applyBorder="1"/>
    <xf numFmtId="0" fontId="2" fillId="0" borderId="10" xfId="0" applyFont="1" applyBorder="1"/>
    <xf numFmtId="0" fontId="1" fillId="2" borderId="1" xfId="0" applyFont="1" applyFill="1" applyBorder="1" applyAlignment="1">
      <alignment horizontal="center" vertical="center"/>
    </xf>
    <xf numFmtId="0" fontId="2" fillId="0" borderId="5" xfId="0" applyFont="1" applyBorder="1"/>
    <xf numFmtId="0" fontId="1" fillId="2" borderId="2" xfId="0" applyFont="1" applyFill="1" applyBorder="1" applyAlignment="1">
      <alignment horizontal="center" vertical="center"/>
    </xf>
    <xf numFmtId="0" fontId="2" fillId="0" borderId="3" xfId="0" applyFont="1" applyBorder="1"/>
    <xf numFmtId="0" fontId="2" fillId="0" borderId="4" xfId="0" applyFont="1" applyBorder="1"/>
    <xf numFmtId="0" fontId="4" fillId="0" borderId="7" xfId="0" applyFont="1" applyBorder="1" applyAlignment="1">
      <alignment vertical="center"/>
    </xf>
    <xf numFmtId="0" fontId="6" fillId="0" borderId="9" xfId="0" applyFont="1" applyBorder="1"/>
    <xf numFmtId="0" fontId="5" fillId="2" borderId="1" xfId="0" applyFont="1" applyFill="1" applyBorder="1" applyAlignment="1">
      <alignment horizontal="center"/>
    </xf>
    <xf numFmtId="0" fontId="5" fillId="2" borderId="14" xfId="0" applyFont="1" applyFill="1" applyBorder="1" applyAlignment="1">
      <alignment horizontal="center"/>
    </xf>
    <xf numFmtId="0" fontId="2" fillId="0" borderId="15" xfId="0" applyFont="1" applyBorder="1"/>
    <xf numFmtId="0" fontId="5" fillId="2" borderId="3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4" borderId="0" xfId="0" applyFill="1" applyAlignment="1">
      <alignment horizontal="center" wrapText="1"/>
    </xf>
    <xf numFmtId="0" fontId="0" fillId="0" borderId="0" xfId="0" applyAlignment="1">
      <alignment horizontal="center" vertical="center"/>
    </xf>
    <xf numFmtId="0" fontId="0" fillId="7" borderId="0" xfId="0" applyFill="1" applyAlignment="1">
      <alignment horizontal="center" vertical="center"/>
    </xf>
  </cellXfs>
  <cellStyles count="3">
    <cellStyle name="Moneda" xfId="1" builtinId="4"/>
    <cellStyle name="Normal" xfId="0" builtinId="0"/>
    <cellStyle name="Porcentaje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ustomXml" Target="../customXml/item3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38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A40"/>
  <sheetViews>
    <sheetView workbookViewId="0">
      <selection activeCell="B5" sqref="B5"/>
    </sheetView>
  </sheetViews>
  <sheetFormatPr baseColWidth="10" defaultColWidth="12.54296875" defaultRowHeight="15.75" customHeight="1" x14ac:dyDescent="0.25"/>
  <cols>
    <col min="1" max="1" width="38.453125" customWidth="1"/>
    <col min="2" max="2" width="47.6328125" customWidth="1"/>
    <col min="5" max="5" width="16" customWidth="1"/>
    <col min="6" max="6" width="13.54296875" customWidth="1"/>
  </cols>
  <sheetData>
    <row r="1" spans="1:27" x14ac:dyDescent="0.25">
      <c r="A1" s="101" t="s">
        <v>0</v>
      </c>
      <c r="B1" s="101" t="s">
        <v>1</v>
      </c>
      <c r="C1" s="103" t="s">
        <v>2</v>
      </c>
      <c r="D1" s="104"/>
      <c r="E1" s="104"/>
      <c r="F1" s="105"/>
    </row>
    <row r="2" spans="1:27" x14ac:dyDescent="0.25">
      <c r="A2" s="102"/>
      <c r="B2" s="102"/>
      <c r="C2" s="1" t="s">
        <v>3</v>
      </c>
      <c r="D2" s="1" t="s">
        <v>4</v>
      </c>
      <c r="E2" s="1" t="s">
        <v>5</v>
      </c>
      <c r="F2" s="1" t="s">
        <v>6</v>
      </c>
    </row>
    <row r="3" spans="1:27" x14ac:dyDescent="0.25">
      <c r="A3" s="106" t="s">
        <v>7</v>
      </c>
      <c r="B3" s="2" t="s">
        <v>8</v>
      </c>
      <c r="C3" s="3">
        <v>43186</v>
      </c>
      <c r="D3" s="4">
        <v>4.1666666666666664E-2</v>
      </c>
      <c r="E3" s="2" t="s">
        <v>9</v>
      </c>
      <c r="F3" s="5" t="s">
        <v>10</v>
      </c>
    </row>
    <row r="4" spans="1:27" x14ac:dyDescent="0.25">
      <c r="A4" s="99"/>
      <c r="B4" s="6" t="s">
        <v>11</v>
      </c>
      <c r="C4" s="7">
        <v>43426</v>
      </c>
      <c r="D4" s="8">
        <v>0.5</v>
      </c>
      <c r="E4" s="6" t="s">
        <v>12</v>
      </c>
      <c r="F4" s="9" t="s">
        <v>13</v>
      </c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</row>
    <row r="5" spans="1:27" x14ac:dyDescent="0.25">
      <c r="A5" s="99"/>
      <c r="B5" s="2" t="s">
        <v>14</v>
      </c>
      <c r="C5" s="3">
        <v>43771</v>
      </c>
      <c r="D5" s="4">
        <v>0.95833333333333337</v>
      </c>
      <c r="E5" s="2" t="s">
        <v>15</v>
      </c>
      <c r="F5" s="5" t="s">
        <v>16</v>
      </c>
    </row>
    <row r="6" spans="1:27" x14ac:dyDescent="0.25">
      <c r="A6" s="99"/>
      <c r="B6" s="2" t="s">
        <v>17</v>
      </c>
      <c r="C6" s="11">
        <v>44157</v>
      </c>
      <c r="D6" s="4">
        <v>4.1666666666666664E-2</v>
      </c>
      <c r="E6" s="2" t="s">
        <v>15</v>
      </c>
      <c r="F6" s="5" t="s">
        <v>10</v>
      </c>
    </row>
    <row r="7" spans="1:27" x14ac:dyDescent="0.25">
      <c r="A7" s="99"/>
      <c r="B7" s="2" t="s">
        <v>18</v>
      </c>
      <c r="C7" s="11">
        <v>44156</v>
      </c>
      <c r="D7" s="4">
        <v>0.25</v>
      </c>
      <c r="E7" s="2" t="s">
        <v>15</v>
      </c>
      <c r="F7" s="5" t="s">
        <v>19</v>
      </c>
    </row>
    <row r="8" spans="1:27" x14ac:dyDescent="0.25">
      <c r="A8" s="99"/>
      <c r="B8" s="2" t="s">
        <v>20</v>
      </c>
      <c r="C8" s="11">
        <v>44156</v>
      </c>
      <c r="D8" s="4">
        <v>0.1875</v>
      </c>
      <c r="E8" s="2" t="s">
        <v>15</v>
      </c>
      <c r="F8" s="5" t="s">
        <v>21</v>
      </c>
    </row>
    <row r="9" spans="1:27" x14ac:dyDescent="0.25">
      <c r="A9" s="99"/>
      <c r="B9" s="2" t="s">
        <v>22</v>
      </c>
      <c r="C9" s="11">
        <v>44157</v>
      </c>
      <c r="D9" s="4">
        <v>7.6388888888888895E-2</v>
      </c>
      <c r="E9" s="2" t="s">
        <v>15</v>
      </c>
      <c r="F9" s="5" t="s">
        <v>23</v>
      </c>
    </row>
    <row r="10" spans="1:27" x14ac:dyDescent="0.25">
      <c r="A10" s="100"/>
      <c r="B10" s="12" t="s">
        <v>24</v>
      </c>
      <c r="C10" s="13">
        <v>44157</v>
      </c>
      <c r="D10" s="14">
        <v>6.25E-2</v>
      </c>
      <c r="E10" s="12" t="s">
        <v>15</v>
      </c>
      <c r="F10" s="15" t="s">
        <v>25</v>
      </c>
    </row>
    <row r="11" spans="1:27" x14ac:dyDescent="0.25">
      <c r="A11" s="98" t="s">
        <v>26</v>
      </c>
      <c r="B11" s="16" t="s">
        <v>8</v>
      </c>
      <c r="C11" s="17">
        <v>43186</v>
      </c>
      <c r="D11" s="18">
        <v>4.1666666666666664E-2</v>
      </c>
      <c r="E11" s="16" t="s">
        <v>9</v>
      </c>
      <c r="F11" s="19" t="s">
        <v>27</v>
      </c>
    </row>
    <row r="12" spans="1:27" x14ac:dyDescent="0.25">
      <c r="A12" s="99"/>
      <c r="B12" s="6" t="s">
        <v>28</v>
      </c>
      <c r="C12" s="7">
        <v>43426</v>
      </c>
      <c r="D12" s="8">
        <v>0.5</v>
      </c>
      <c r="E12" s="6" t="s">
        <v>29</v>
      </c>
      <c r="F12" s="9" t="s">
        <v>30</v>
      </c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</row>
    <row r="13" spans="1:27" x14ac:dyDescent="0.25">
      <c r="A13" s="99"/>
      <c r="B13" s="2" t="s">
        <v>31</v>
      </c>
      <c r="C13" s="11">
        <v>44156</v>
      </c>
      <c r="D13" s="4">
        <v>0.20833333333333334</v>
      </c>
      <c r="E13" s="2" t="s">
        <v>15</v>
      </c>
      <c r="F13" s="5" t="s">
        <v>32</v>
      </c>
    </row>
    <row r="14" spans="1:27" x14ac:dyDescent="0.25">
      <c r="A14" s="100"/>
      <c r="B14" s="12" t="s">
        <v>22</v>
      </c>
      <c r="C14" s="13">
        <v>44157</v>
      </c>
      <c r="D14" s="14">
        <v>6.9444444444444448E-2</v>
      </c>
      <c r="E14" s="12" t="s">
        <v>15</v>
      </c>
      <c r="F14" s="15" t="s">
        <v>33</v>
      </c>
    </row>
    <row r="15" spans="1:27" x14ac:dyDescent="0.25">
      <c r="A15" s="98" t="s">
        <v>34</v>
      </c>
      <c r="B15" s="16" t="s">
        <v>8</v>
      </c>
      <c r="C15" s="17">
        <v>43438</v>
      </c>
      <c r="D15" s="18">
        <v>8.3333333333333329E-2</v>
      </c>
      <c r="E15" s="16" t="s">
        <v>9</v>
      </c>
      <c r="F15" s="19" t="s">
        <v>10</v>
      </c>
    </row>
    <row r="16" spans="1:27" x14ac:dyDescent="0.25">
      <c r="A16" s="99"/>
      <c r="B16" s="6" t="s">
        <v>35</v>
      </c>
      <c r="C16" s="7">
        <v>43445</v>
      </c>
      <c r="D16" s="8">
        <v>0</v>
      </c>
      <c r="E16" s="6" t="s">
        <v>29</v>
      </c>
      <c r="F16" s="9" t="s">
        <v>30</v>
      </c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</row>
    <row r="17" spans="1:27" x14ac:dyDescent="0.25">
      <c r="A17" s="99"/>
      <c r="B17" s="6" t="s">
        <v>36</v>
      </c>
      <c r="C17" s="20">
        <v>43573</v>
      </c>
      <c r="D17" s="8">
        <v>0</v>
      </c>
      <c r="E17" s="6" t="s">
        <v>29</v>
      </c>
      <c r="F17" s="9" t="s">
        <v>30</v>
      </c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</row>
    <row r="18" spans="1:27" x14ac:dyDescent="0.25">
      <c r="A18" s="99"/>
      <c r="B18" s="2" t="s">
        <v>31</v>
      </c>
      <c r="C18" s="11">
        <v>44156</v>
      </c>
      <c r="D18" s="4">
        <v>0.22916666666666666</v>
      </c>
      <c r="E18" s="2" t="s">
        <v>15</v>
      </c>
      <c r="F18" s="5" t="s">
        <v>37</v>
      </c>
    </row>
    <row r="19" spans="1:27" x14ac:dyDescent="0.25">
      <c r="A19" s="100"/>
      <c r="B19" s="12" t="s">
        <v>22</v>
      </c>
      <c r="C19" s="13">
        <v>44157</v>
      </c>
      <c r="D19" s="14">
        <v>7.9861111111111105E-2</v>
      </c>
      <c r="E19" s="12" t="s">
        <v>15</v>
      </c>
      <c r="F19" s="15" t="s">
        <v>38</v>
      </c>
    </row>
    <row r="20" spans="1:27" x14ac:dyDescent="0.25">
      <c r="A20" s="98" t="s">
        <v>39</v>
      </c>
      <c r="B20" s="16" t="s">
        <v>8</v>
      </c>
      <c r="C20" s="17">
        <v>43408</v>
      </c>
      <c r="D20" s="18">
        <v>8.3333333333333329E-2</v>
      </c>
      <c r="E20" s="16" t="s">
        <v>9</v>
      </c>
      <c r="F20" s="19" t="s">
        <v>10</v>
      </c>
    </row>
    <row r="21" spans="1:27" x14ac:dyDescent="0.25">
      <c r="A21" s="99"/>
      <c r="B21" s="2" t="s">
        <v>40</v>
      </c>
      <c r="C21" s="3">
        <v>43537</v>
      </c>
      <c r="D21" s="4">
        <v>0.3263888888888889</v>
      </c>
      <c r="E21" s="2" t="s">
        <v>15</v>
      </c>
      <c r="F21" s="5" t="s">
        <v>41</v>
      </c>
    </row>
    <row r="22" spans="1:27" x14ac:dyDescent="0.25">
      <c r="A22" s="99"/>
      <c r="B22" s="2" t="s">
        <v>42</v>
      </c>
      <c r="C22" s="3">
        <v>43600</v>
      </c>
      <c r="D22" s="4">
        <v>0.3611111111111111</v>
      </c>
      <c r="E22" s="2" t="s">
        <v>15</v>
      </c>
      <c r="F22" s="5" t="s">
        <v>43</v>
      </c>
    </row>
    <row r="23" spans="1:27" x14ac:dyDescent="0.25">
      <c r="A23" s="99"/>
      <c r="B23" s="6" t="s">
        <v>28</v>
      </c>
      <c r="C23" s="7">
        <v>43426</v>
      </c>
      <c r="D23" s="8">
        <v>0</v>
      </c>
      <c r="E23" s="6" t="s">
        <v>29</v>
      </c>
      <c r="F23" s="9" t="s">
        <v>30</v>
      </c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</row>
    <row r="24" spans="1:27" x14ac:dyDescent="0.25">
      <c r="A24" s="99"/>
      <c r="B24" s="2" t="s">
        <v>44</v>
      </c>
      <c r="C24" s="11">
        <v>43796</v>
      </c>
      <c r="D24" s="4">
        <v>0.25</v>
      </c>
      <c r="E24" s="2" t="s">
        <v>15</v>
      </c>
      <c r="F24" s="5" t="s">
        <v>19</v>
      </c>
    </row>
    <row r="25" spans="1:27" x14ac:dyDescent="0.25">
      <c r="A25" s="99"/>
      <c r="B25" s="2" t="s">
        <v>17</v>
      </c>
      <c r="C25" s="11">
        <v>44156</v>
      </c>
      <c r="D25" s="4">
        <v>0.98958333333333337</v>
      </c>
      <c r="E25" s="2" t="s">
        <v>15</v>
      </c>
      <c r="F25" s="5" t="s">
        <v>45</v>
      </c>
    </row>
    <row r="26" spans="1:27" x14ac:dyDescent="0.25">
      <c r="A26" s="100"/>
      <c r="B26" s="12" t="s">
        <v>22</v>
      </c>
      <c r="C26" s="13">
        <v>44157</v>
      </c>
      <c r="D26" s="14">
        <v>6.25E-2</v>
      </c>
      <c r="E26" s="12" t="s">
        <v>15</v>
      </c>
      <c r="F26" s="15" t="s">
        <v>25</v>
      </c>
    </row>
    <row r="27" spans="1:27" x14ac:dyDescent="0.25">
      <c r="A27" s="98" t="s">
        <v>46</v>
      </c>
      <c r="B27" s="16" t="s">
        <v>47</v>
      </c>
      <c r="C27" s="17">
        <v>43186</v>
      </c>
      <c r="D27" s="18">
        <v>0.91666666666666663</v>
      </c>
      <c r="E27" s="16" t="s">
        <v>9</v>
      </c>
      <c r="F27" s="19" t="s">
        <v>48</v>
      </c>
    </row>
    <row r="28" spans="1:27" x14ac:dyDescent="0.25">
      <c r="A28" s="99"/>
      <c r="B28" s="2" t="s">
        <v>49</v>
      </c>
      <c r="C28" s="11">
        <v>44523</v>
      </c>
      <c r="D28" s="4">
        <v>0.20833333333333334</v>
      </c>
      <c r="E28" s="2" t="s">
        <v>15</v>
      </c>
      <c r="F28" s="5" t="s">
        <v>32</v>
      </c>
    </row>
    <row r="29" spans="1:27" x14ac:dyDescent="0.25">
      <c r="A29" s="99"/>
      <c r="B29" s="2" t="s">
        <v>50</v>
      </c>
      <c r="C29" s="11">
        <v>44523</v>
      </c>
      <c r="D29" s="4">
        <v>0.20833333333333334</v>
      </c>
      <c r="E29" s="2" t="s">
        <v>15</v>
      </c>
      <c r="F29" s="5" t="s">
        <v>32</v>
      </c>
    </row>
    <row r="30" spans="1:27" x14ac:dyDescent="0.25">
      <c r="A30" s="99"/>
      <c r="B30" s="2" t="s">
        <v>51</v>
      </c>
      <c r="C30" s="11">
        <v>44875</v>
      </c>
      <c r="D30" s="4">
        <v>0.91666666666666663</v>
      </c>
      <c r="E30" s="2" t="s">
        <v>15</v>
      </c>
      <c r="F30" s="5" t="s">
        <v>52</v>
      </c>
    </row>
    <row r="31" spans="1:27" x14ac:dyDescent="0.25">
      <c r="A31" s="99"/>
      <c r="B31" s="6" t="s">
        <v>28</v>
      </c>
      <c r="C31" s="7">
        <v>43426</v>
      </c>
      <c r="D31" s="8">
        <v>0</v>
      </c>
      <c r="E31" s="6" t="s">
        <v>29</v>
      </c>
      <c r="F31" s="9" t="s">
        <v>30</v>
      </c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</row>
    <row r="32" spans="1:27" x14ac:dyDescent="0.25">
      <c r="A32" s="99"/>
      <c r="B32" s="6" t="s">
        <v>53</v>
      </c>
      <c r="C32" s="7">
        <v>44540</v>
      </c>
      <c r="D32" s="8">
        <v>0</v>
      </c>
      <c r="E32" s="6" t="s">
        <v>15</v>
      </c>
      <c r="F32" s="9" t="s">
        <v>30</v>
      </c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</row>
    <row r="33" spans="1:27" x14ac:dyDescent="0.25">
      <c r="A33" s="99"/>
      <c r="B33" s="6" t="s">
        <v>54</v>
      </c>
      <c r="C33" s="20">
        <v>44574</v>
      </c>
      <c r="D33" s="8">
        <v>1.0416666666666666E-2</v>
      </c>
      <c r="E33" s="6" t="s">
        <v>15</v>
      </c>
      <c r="F33" s="9" t="s">
        <v>30</v>
      </c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</row>
    <row r="34" spans="1:27" x14ac:dyDescent="0.25">
      <c r="A34" s="99"/>
      <c r="B34" s="2" t="s">
        <v>55</v>
      </c>
      <c r="C34" s="3">
        <v>44593</v>
      </c>
      <c r="D34" s="4">
        <v>0.33333333333333331</v>
      </c>
      <c r="E34" s="2" t="s">
        <v>15</v>
      </c>
      <c r="F34" s="5" t="s">
        <v>56</v>
      </c>
    </row>
    <row r="35" spans="1:27" x14ac:dyDescent="0.25">
      <c r="A35" s="99"/>
      <c r="B35" s="6" t="s">
        <v>57</v>
      </c>
      <c r="C35" s="7">
        <v>44540</v>
      </c>
      <c r="D35" s="8">
        <v>2.0833333333333332E-2</v>
      </c>
      <c r="E35" s="6" t="s">
        <v>15</v>
      </c>
      <c r="F35" s="9" t="s">
        <v>30</v>
      </c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</row>
    <row r="36" spans="1:27" x14ac:dyDescent="0.25">
      <c r="A36" s="99"/>
      <c r="B36" s="6" t="s">
        <v>58</v>
      </c>
      <c r="C36" s="20">
        <v>44574</v>
      </c>
      <c r="D36" s="8">
        <v>2.0833333333333332E-2</v>
      </c>
      <c r="E36" s="6" t="s">
        <v>15</v>
      </c>
      <c r="F36" s="9" t="s">
        <v>30</v>
      </c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</row>
    <row r="37" spans="1:27" x14ac:dyDescent="0.25">
      <c r="A37" s="99"/>
      <c r="B37" s="2" t="s">
        <v>59</v>
      </c>
      <c r="C37" s="3">
        <v>44574</v>
      </c>
      <c r="D37" s="4">
        <v>0.29930555555555555</v>
      </c>
      <c r="E37" s="2" t="s">
        <v>15</v>
      </c>
      <c r="F37" s="5" t="s">
        <v>60</v>
      </c>
    </row>
    <row r="38" spans="1:27" x14ac:dyDescent="0.25">
      <c r="A38" s="99"/>
      <c r="B38" s="2" t="s">
        <v>61</v>
      </c>
      <c r="C38" s="3">
        <v>44574</v>
      </c>
      <c r="D38" s="4">
        <v>0.56458333333333333</v>
      </c>
      <c r="E38" s="2" t="s">
        <v>15</v>
      </c>
      <c r="F38" s="5" t="s">
        <v>62</v>
      </c>
    </row>
    <row r="39" spans="1:27" x14ac:dyDescent="0.25">
      <c r="A39" s="99"/>
      <c r="B39" s="2" t="s">
        <v>63</v>
      </c>
      <c r="C39" s="3">
        <v>44574</v>
      </c>
      <c r="D39" s="4">
        <v>0.96875</v>
      </c>
      <c r="E39" s="2" t="s">
        <v>15</v>
      </c>
      <c r="F39" s="5" t="s">
        <v>64</v>
      </c>
    </row>
    <row r="40" spans="1:27" x14ac:dyDescent="0.25">
      <c r="A40" s="100"/>
      <c r="B40" s="12" t="s">
        <v>65</v>
      </c>
      <c r="C40" s="21">
        <v>44574</v>
      </c>
      <c r="D40" s="14">
        <v>0.45833333333333331</v>
      </c>
      <c r="E40" s="21" t="s">
        <v>15</v>
      </c>
      <c r="F40" s="12" t="s">
        <v>66</v>
      </c>
    </row>
  </sheetData>
  <mergeCells count="8">
    <mergeCell ref="A27:A40"/>
    <mergeCell ref="A1:A2"/>
    <mergeCell ref="B1:B2"/>
    <mergeCell ref="C1:F1"/>
    <mergeCell ref="A3:A10"/>
    <mergeCell ref="A11:A14"/>
    <mergeCell ref="A15:A19"/>
    <mergeCell ref="A20:A26"/>
  </mergeCells>
  <pageMargins left="0" right="0" top="0" bottom="0" header="0" footer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G40"/>
  <sheetViews>
    <sheetView workbookViewId="0">
      <selection sqref="A1:A2"/>
    </sheetView>
  </sheetViews>
  <sheetFormatPr baseColWidth="10" defaultColWidth="12.54296875" defaultRowHeight="15.75" customHeight="1" x14ac:dyDescent="0.25"/>
  <cols>
    <col min="1" max="1" width="10.90625" customWidth="1"/>
    <col min="2" max="2" width="47.6328125" customWidth="1"/>
    <col min="3" max="3" width="13.453125" customWidth="1"/>
    <col min="4" max="4" width="12.6328125" customWidth="1"/>
    <col min="5" max="5" width="13.08984375" customWidth="1"/>
    <col min="6" max="6" width="18.453125" customWidth="1"/>
  </cols>
  <sheetData>
    <row r="1" spans="1:7" ht="15.75" customHeight="1" x14ac:dyDescent="0.35">
      <c r="A1" s="108" t="s">
        <v>0</v>
      </c>
      <c r="B1" s="109" t="s">
        <v>1</v>
      </c>
      <c r="C1" s="111" t="s">
        <v>2</v>
      </c>
      <c r="D1" s="104"/>
      <c r="E1" s="104"/>
      <c r="F1" s="105"/>
      <c r="G1" s="22"/>
    </row>
    <row r="2" spans="1:7" ht="13" x14ac:dyDescent="0.3">
      <c r="A2" s="102"/>
      <c r="B2" s="110"/>
      <c r="C2" s="23" t="s">
        <v>3</v>
      </c>
      <c r="D2" s="23" t="s">
        <v>4</v>
      </c>
      <c r="E2" s="23" t="s">
        <v>5</v>
      </c>
      <c r="F2" s="23" t="s">
        <v>6</v>
      </c>
      <c r="G2" s="22"/>
    </row>
    <row r="3" spans="1:7" ht="12.5" x14ac:dyDescent="0.25">
      <c r="A3" s="107" t="s">
        <v>7</v>
      </c>
      <c r="B3" s="24" t="s">
        <v>8</v>
      </c>
      <c r="C3" s="25">
        <v>43186</v>
      </c>
      <c r="D3" s="26">
        <v>0.25</v>
      </c>
      <c r="E3" s="24" t="s">
        <v>15</v>
      </c>
      <c r="F3" s="27" t="s">
        <v>19</v>
      </c>
      <c r="G3" s="28"/>
    </row>
    <row r="4" spans="1:7" ht="12.5" x14ac:dyDescent="0.25">
      <c r="A4" s="99"/>
      <c r="B4" s="24" t="s">
        <v>11</v>
      </c>
      <c r="C4" s="29">
        <v>43426</v>
      </c>
      <c r="D4" s="26">
        <v>0.25</v>
      </c>
      <c r="E4" s="24" t="s">
        <v>15</v>
      </c>
      <c r="F4" s="27" t="s">
        <v>19</v>
      </c>
      <c r="G4" s="22"/>
    </row>
    <row r="5" spans="1:7" ht="12.5" x14ac:dyDescent="0.25">
      <c r="A5" s="99"/>
      <c r="B5" s="24" t="s">
        <v>14</v>
      </c>
      <c r="C5" s="25">
        <v>43771</v>
      </c>
      <c r="D5" s="26">
        <v>0.25</v>
      </c>
      <c r="E5" s="24" t="s">
        <v>15</v>
      </c>
      <c r="F5" s="27" t="s">
        <v>19</v>
      </c>
      <c r="G5" s="22"/>
    </row>
    <row r="6" spans="1:7" ht="12.5" x14ac:dyDescent="0.25">
      <c r="A6" s="99"/>
      <c r="B6" s="24" t="s">
        <v>17</v>
      </c>
      <c r="C6" s="29">
        <v>44157</v>
      </c>
      <c r="D6" s="26">
        <v>0.25</v>
      </c>
      <c r="E6" s="24" t="s">
        <v>15</v>
      </c>
      <c r="F6" s="27" t="s">
        <v>19</v>
      </c>
      <c r="G6" s="22"/>
    </row>
    <row r="7" spans="1:7" ht="12.5" x14ac:dyDescent="0.25">
      <c r="A7" s="99"/>
      <c r="B7" s="24" t="s">
        <v>18</v>
      </c>
      <c r="C7" s="29">
        <v>44156</v>
      </c>
      <c r="D7" s="26">
        <v>0.25</v>
      </c>
      <c r="E7" s="24" t="s">
        <v>15</v>
      </c>
      <c r="F7" s="27" t="s">
        <v>19</v>
      </c>
      <c r="G7" s="22"/>
    </row>
    <row r="8" spans="1:7" ht="12.5" x14ac:dyDescent="0.25">
      <c r="A8" s="99"/>
      <c r="B8" s="24" t="s">
        <v>20</v>
      </c>
      <c r="C8" s="29">
        <v>44156</v>
      </c>
      <c r="D8" s="26">
        <v>0.25</v>
      </c>
      <c r="E8" s="24" t="s">
        <v>15</v>
      </c>
      <c r="F8" s="27" t="s">
        <v>19</v>
      </c>
      <c r="G8" s="22"/>
    </row>
    <row r="9" spans="1:7" ht="12.5" x14ac:dyDescent="0.25">
      <c r="A9" s="99"/>
      <c r="B9" s="24" t="s">
        <v>22</v>
      </c>
      <c r="C9" s="29">
        <v>44157</v>
      </c>
      <c r="D9" s="26">
        <v>0.25</v>
      </c>
      <c r="E9" s="24" t="s">
        <v>15</v>
      </c>
      <c r="F9" s="27" t="s">
        <v>19</v>
      </c>
      <c r="G9" s="22"/>
    </row>
    <row r="10" spans="1:7" ht="12.5" x14ac:dyDescent="0.25">
      <c r="A10" s="100"/>
      <c r="B10" s="30" t="s">
        <v>24</v>
      </c>
      <c r="C10" s="31">
        <v>44157</v>
      </c>
      <c r="D10" s="32">
        <v>0.25</v>
      </c>
      <c r="E10" s="30" t="s">
        <v>15</v>
      </c>
      <c r="F10" s="33" t="s">
        <v>19</v>
      </c>
      <c r="G10" s="22"/>
    </row>
    <row r="11" spans="1:7" ht="12.5" x14ac:dyDescent="0.25">
      <c r="A11" s="107" t="s">
        <v>26</v>
      </c>
      <c r="B11" s="24" t="s">
        <v>8</v>
      </c>
      <c r="C11" s="25">
        <v>43186</v>
      </c>
      <c r="D11" s="26">
        <v>0.25208333333333333</v>
      </c>
      <c r="E11" s="24" t="s">
        <v>15</v>
      </c>
      <c r="F11" s="27" t="s">
        <v>67</v>
      </c>
      <c r="G11" s="22"/>
    </row>
    <row r="12" spans="1:7" ht="12.5" x14ac:dyDescent="0.25">
      <c r="A12" s="99"/>
      <c r="B12" s="24" t="s">
        <v>28</v>
      </c>
      <c r="C12" s="29">
        <v>43426</v>
      </c>
      <c r="D12" s="26">
        <v>0.25208333333333333</v>
      </c>
      <c r="E12" s="24" t="s">
        <v>15</v>
      </c>
      <c r="F12" s="27" t="s">
        <v>67</v>
      </c>
      <c r="G12" s="22"/>
    </row>
    <row r="13" spans="1:7" ht="12.5" x14ac:dyDescent="0.25">
      <c r="A13" s="99"/>
      <c r="B13" s="24" t="s">
        <v>31</v>
      </c>
      <c r="C13" s="29">
        <v>44156</v>
      </c>
      <c r="D13" s="26">
        <v>0.25208333333333333</v>
      </c>
      <c r="E13" s="24" t="s">
        <v>15</v>
      </c>
      <c r="F13" s="27" t="s">
        <v>67</v>
      </c>
      <c r="G13" s="22"/>
    </row>
    <row r="14" spans="1:7" ht="12.5" x14ac:dyDescent="0.25">
      <c r="A14" s="100"/>
      <c r="B14" s="30" t="s">
        <v>22</v>
      </c>
      <c r="C14" s="31">
        <v>44157</v>
      </c>
      <c r="D14" s="32">
        <v>0.25208333333333333</v>
      </c>
      <c r="E14" s="30" t="s">
        <v>15</v>
      </c>
      <c r="F14" s="33" t="s">
        <v>67</v>
      </c>
      <c r="G14" s="22"/>
    </row>
    <row r="15" spans="1:7" ht="12.5" x14ac:dyDescent="0.25">
      <c r="A15" s="107" t="s">
        <v>34</v>
      </c>
      <c r="B15" s="24" t="s">
        <v>8</v>
      </c>
      <c r="C15" s="25">
        <v>43438</v>
      </c>
      <c r="D15" s="26">
        <v>8.3333333333333329E-2</v>
      </c>
      <c r="E15" s="24" t="s">
        <v>15</v>
      </c>
      <c r="F15" s="27" t="s">
        <v>68</v>
      </c>
      <c r="G15" s="22"/>
    </row>
    <row r="16" spans="1:7" ht="12.5" x14ac:dyDescent="0.25">
      <c r="A16" s="99"/>
      <c r="B16" s="24" t="s">
        <v>35</v>
      </c>
      <c r="C16" s="29">
        <v>43445</v>
      </c>
      <c r="D16" s="26">
        <v>0</v>
      </c>
      <c r="E16" s="24" t="s">
        <v>15</v>
      </c>
      <c r="F16" s="27" t="s">
        <v>68</v>
      </c>
      <c r="G16" s="22"/>
    </row>
    <row r="17" spans="1:7" ht="12.5" x14ac:dyDescent="0.25">
      <c r="A17" s="99"/>
      <c r="B17" s="24" t="s">
        <v>36</v>
      </c>
      <c r="C17" s="25">
        <v>43573</v>
      </c>
      <c r="D17" s="26">
        <v>0</v>
      </c>
      <c r="E17" s="24" t="s">
        <v>29</v>
      </c>
      <c r="F17" s="27" t="s">
        <v>68</v>
      </c>
      <c r="G17" s="22"/>
    </row>
    <row r="18" spans="1:7" ht="12.5" x14ac:dyDescent="0.25">
      <c r="A18" s="99"/>
      <c r="B18" s="24" t="s">
        <v>31</v>
      </c>
      <c r="C18" s="29">
        <v>44156</v>
      </c>
      <c r="D18" s="26">
        <v>0.22916666666666666</v>
      </c>
      <c r="E18" s="24" t="s">
        <v>15</v>
      </c>
      <c r="F18" s="27" t="s">
        <v>68</v>
      </c>
      <c r="G18" s="22"/>
    </row>
    <row r="19" spans="1:7" ht="12.5" x14ac:dyDescent="0.25">
      <c r="A19" s="100"/>
      <c r="B19" s="30" t="s">
        <v>22</v>
      </c>
      <c r="C19" s="31">
        <v>44157</v>
      </c>
      <c r="D19" s="32">
        <v>7.9861111111111105E-2</v>
      </c>
      <c r="E19" s="30" t="s">
        <v>15</v>
      </c>
      <c r="F19" s="33" t="s">
        <v>68</v>
      </c>
      <c r="G19" s="22"/>
    </row>
    <row r="20" spans="1:7" ht="12.5" x14ac:dyDescent="0.25">
      <c r="A20" s="107" t="s">
        <v>39</v>
      </c>
      <c r="B20" s="24" t="s">
        <v>8</v>
      </c>
      <c r="C20" s="25">
        <v>43408</v>
      </c>
      <c r="D20" s="26">
        <v>8.3333333333333329E-2</v>
      </c>
      <c r="E20" s="24" t="s">
        <v>9</v>
      </c>
      <c r="F20" s="27" t="s">
        <v>69</v>
      </c>
      <c r="G20" s="22"/>
    </row>
    <row r="21" spans="1:7" ht="12.5" x14ac:dyDescent="0.25">
      <c r="A21" s="99"/>
      <c r="B21" s="24" t="s">
        <v>40</v>
      </c>
      <c r="C21" s="25">
        <v>43537</v>
      </c>
      <c r="D21" s="26">
        <v>0.3263888888888889</v>
      </c>
      <c r="E21" s="24" t="s">
        <v>15</v>
      </c>
      <c r="F21" s="27" t="s">
        <v>69</v>
      </c>
      <c r="G21" s="22"/>
    </row>
    <row r="22" spans="1:7" ht="12.5" x14ac:dyDescent="0.25">
      <c r="A22" s="99"/>
      <c r="B22" s="24" t="s">
        <v>42</v>
      </c>
      <c r="C22" s="25">
        <v>43600</v>
      </c>
      <c r="D22" s="26">
        <v>0.3611111111111111</v>
      </c>
      <c r="E22" s="24" t="s">
        <v>15</v>
      </c>
      <c r="F22" s="27" t="s">
        <v>69</v>
      </c>
      <c r="G22" s="22"/>
    </row>
    <row r="23" spans="1:7" ht="12.5" x14ac:dyDescent="0.25">
      <c r="A23" s="99"/>
      <c r="B23" s="24" t="s">
        <v>28</v>
      </c>
      <c r="C23" s="29">
        <v>43426</v>
      </c>
      <c r="D23" s="26">
        <v>0</v>
      </c>
      <c r="E23" s="24" t="s">
        <v>15</v>
      </c>
      <c r="F23" s="27" t="s">
        <v>69</v>
      </c>
      <c r="G23" s="22"/>
    </row>
    <row r="24" spans="1:7" ht="12.5" x14ac:dyDescent="0.25">
      <c r="A24" s="99"/>
      <c r="B24" s="24" t="s">
        <v>44</v>
      </c>
      <c r="C24" s="29">
        <v>43796</v>
      </c>
      <c r="D24" s="26">
        <v>0.25</v>
      </c>
      <c r="E24" s="24" t="s">
        <v>15</v>
      </c>
      <c r="F24" s="27" t="s">
        <v>69</v>
      </c>
      <c r="G24" s="22"/>
    </row>
    <row r="25" spans="1:7" ht="12.5" x14ac:dyDescent="0.25">
      <c r="A25" s="99"/>
      <c r="B25" s="24" t="s">
        <v>17</v>
      </c>
      <c r="C25" s="29">
        <v>44156</v>
      </c>
      <c r="D25" s="26">
        <v>0.98958333333333337</v>
      </c>
      <c r="E25" s="24" t="s">
        <v>15</v>
      </c>
      <c r="F25" s="27" t="s">
        <v>69</v>
      </c>
      <c r="G25" s="22"/>
    </row>
    <row r="26" spans="1:7" ht="12.5" x14ac:dyDescent="0.25">
      <c r="A26" s="100"/>
      <c r="B26" s="30" t="s">
        <v>22</v>
      </c>
      <c r="C26" s="31">
        <v>44157</v>
      </c>
      <c r="D26" s="32">
        <v>6.25E-2</v>
      </c>
      <c r="E26" s="30" t="s">
        <v>15</v>
      </c>
      <c r="F26" s="33" t="s">
        <v>69</v>
      </c>
      <c r="G26" s="22"/>
    </row>
    <row r="27" spans="1:7" ht="12.5" x14ac:dyDescent="0.25">
      <c r="A27" s="107" t="s">
        <v>46</v>
      </c>
      <c r="B27" s="24" t="s">
        <v>47</v>
      </c>
      <c r="C27" s="25">
        <v>43186</v>
      </c>
      <c r="D27" s="26">
        <v>0.91666666666666663</v>
      </c>
      <c r="E27" s="24" t="s">
        <v>15</v>
      </c>
      <c r="F27" s="27" t="s">
        <v>70</v>
      </c>
      <c r="G27" s="22"/>
    </row>
    <row r="28" spans="1:7" ht="12.5" x14ac:dyDescent="0.25">
      <c r="A28" s="99"/>
      <c r="B28" s="24" t="s">
        <v>49</v>
      </c>
      <c r="C28" s="29">
        <v>44523</v>
      </c>
      <c r="D28" s="26">
        <v>0.20833333333333334</v>
      </c>
      <c r="E28" s="24" t="s">
        <v>15</v>
      </c>
      <c r="F28" s="27" t="s">
        <v>70</v>
      </c>
      <c r="G28" s="22"/>
    </row>
    <row r="29" spans="1:7" ht="12.5" x14ac:dyDescent="0.25">
      <c r="A29" s="99"/>
      <c r="B29" s="24" t="s">
        <v>50</v>
      </c>
      <c r="C29" s="29">
        <v>44523</v>
      </c>
      <c r="D29" s="26">
        <v>0.20833333333333334</v>
      </c>
      <c r="E29" s="24" t="s">
        <v>15</v>
      </c>
      <c r="F29" s="27" t="s">
        <v>70</v>
      </c>
      <c r="G29" s="22"/>
    </row>
    <row r="30" spans="1:7" ht="12.5" x14ac:dyDescent="0.25">
      <c r="A30" s="99"/>
      <c r="B30" s="24" t="s">
        <v>51</v>
      </c>
      <c r="C30" s="29">
        <v>44875</v>
      </c>
      <c r="D30" s="26">
        <v>0.91666666666666663</v>
      </c>
      <c r="E30" s="24" t="s">
        <v>15</v>
      </c>
      <c r="F30" s="27" t="s">
        <v>70</v>
      </c>
      <c r="G30" s="22"/>
    </row>
    <row r="31" spans="1:7" ht="12.5" x14ac:dyDescent="0.25">
      <c r="A31" s="99"/>
      <c r="B31" s="24" t="s">
        <v>28</v>
      </c>
      <c r="C31" s="29">
        <v>43426</v>
      </c>
      <c r="D31" s="26">
        <v>0</v>
      </c>
      <c r="E31" s="24" t="s">
        <v>15</v>
      </c>
      <c r="F31" s="27" t="s">
        <v>70</v>
      </c>
      <c r="G31" s="22"/>
    </row>
    <row r="32" spans="1:7" ht="12.5" x14ac:dyDescent="0.25">
      <c r="A32" s="99"/>
      <c r="B32" s="24" t="s">
        <v>53</v>
      </c>
      <c r="C32" s="29">
        <v>44540</v>
      </c>
      <c r="D32" s="26">
        <v>0</v>
      </c>
      <c r="E32" s="24" t="s">
        <v>15</v>
      </c>
      <c r="F32" s="27" t="s">
        <v>70</v>
      </c>
      <c r="G32" s="22"/>
    </row>
    <row r="33" spans="1:7" ht="12.5" x14ac:dyDescent="0.25">
      <c r="A33" s="99"/>
      <c r="B33" s="24" t="s">
        <v>54</v>
      </c>
      <c r="C33" s="25">
        <v>44574</v>
      </c>
      <c r="D33" s="26">
        <v>1.0416666666666666E-2</v>
      </c>
      <c r="E33" s="24" t="s">
        <v>15</v>
      </c>
      <c r="F33" s="27" t="s">
        <v>70</v>
      </c>
      <c r="G33" s="22"/>
    </row>
    <row r="34" spans="1:7" ht="12.5" x14ac:dyDescent="0.25">
      <c r="A34" s="99"/>
      <c r="B34" s="24" t="s">
        <v>55</v>
      </c>
      <c r="C34" s="25">
        <v>44593</v>
      </c>
      <c r="D34" s="26">
        <v>0.33333333333333331</v>
      </c>
      <c r="E34" s="24" t="s">
        <v>15</v>
      </c>
      <c r="F34" s="27" t="s">
        <v>70</v>
      </c>
      <c r="G34" s="22"/>
    </row>
    <row r="35" spans="1:7" ht="12.5" x14ac:dyDescent="0.25">
      <c r="A35" s="99"/>
      <c r="B35" s="24" t="s">
        <v>57</v>
      </c>
      <c r="C35" s="29">
        <v>44540</v>
      </c>
      <c r="D35" s="26">
        <v>2.0833333333333332E-2</v>
      </c>
      <c r="E35" s="24" t="s">
        <v>15</v>
      </c>
      <c r="F35" s="27" t="s">
        <v>70</v>
      </c>
      <c r="G35" s="22"/>
    </row>
    <row r="36" spans="1:7" ht="12.5" x14ac:dyDescent="0.25">
      <c r="A36" s="99"/>
      <c r="B36" s="24" t="s">
        <v>58</v>
      </c>
      <c r="C36" s="25">
        <v>44574</v>
      </c>
      <c r="D36" s="26">
        <v>2.0833333333333332E-2</v>
      </c>
      <c r="E36" s="24" t="s">
        <v>15</v>
      </c>
      <c r="F36" s="27" t="s">
        <v>70</v>
      </c>
      <c r="G36" s="22"/>
    </row>
    <row r="37" spans="1:7" ht="12.5" x14ac:dyDescent="0.25">
      <c r="A37" s="99"/>
      <c r="B37" s="24" t="s">
        <v>59</v>
      </c>
      <c r="C37" s="25">
        <v>44574</v>
      </c>
      <c r="D37" s="26">
        <v>0.29930555555555555</v>
      </c>
      <c r="E37" s="24" t="s">
        <v>15</v>
      </c>
      <c r="F37" s="27" t="s">
        <v>70</v>
      </c>
      <c r="G37" s="22"/>
    </row>
    <row r="38" spans="1:7" ht="12.5" x14ac:dyDescent="0.25">
      <c r="A38" s="99"/>
      <c r="B38" s="24" t="s">
        <v>61</v>
      </c>
      <c r="C38" s="25">
        <v>44574</v>
      </c>
      <c r="D38" s="26">
        <v>0.56458333333333333</v>
      </c>
      <c r="E38" s="24" t="s">
        <v>15</v>
      </c>
      <c r="F38" s="27" t="s">
        <v>70</v>
      </c>
      <c r="G38" s="22"/>
    </row>
    <row r="39" spans="1:7" ht="12.5" x14ac:dyDescent="0.25">
      <c r="A39" s="99"/>
      <c r="B39" s="24" t="s">
        <v>63</v>
      </c>
      <c r="C39" s="25">
        <v>44574</v>
      </c>
      <c r="D39" s="26">
        <v>0.96875</v>
      </c>
      <c r="E39" s="24" t="s">
        <v>15</v>
      </c>
      <c r="F39" s="27" t="s">
        <v>70</v>
      </c>
      <c r="G39" s="22"/>
    </row>
    <row r="40" spans="1:7" ht="12.5" x14ac:dyDescent="0.25">
      <c r="A40" s="100"/>
      <c r="B40" s="30" t="s">
        <v>65</v>
      </c>
      <c r="C40" s="34">
        <v>44574</v>
      </c>
      <c r="D40" s="32">
        <v>0.45833333333333331</v>
      </c>
      <c r="E40" s="35" t="s">
        <v>15</v>
      </c>
      <c r="F40" s="30" t="s">
        <v>70</v>
      </c>
      <c r="G40" s="22"/>
    </row>
  </sheetData>
  <mergeCells count="8">
    <mergeCell ref="A27:A40"/>
    <mergeCell ref="A1:A2"/>
    <mergeCell ref="B1:B2"/>
    <mergeCell ref="C1:F1"/>
    <mergeCell ref="A3:A10"/>
    <mergeCell ref="A11:A14"/>
    <mergeCell ref="A15:A19"/>
    <mergeCell ref="A20:A26"/>
  </mergeCells>
  <pageMargins left="0" right="0" top="0" bottom="0" header="0" footer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G40"/>
  <sheetViews>
    <sheetView topLeftCell="A27" workbookViewId="0">
      <selection sqref="A1:E40"/>
    </sheetView>
  </sheetViews>
  <sheetFormatPr baseColWidth="10" defaultColWidth="12.54296875" defaultRowHeight="15.75" customHeight="1" x14ac:dyDescent="0.25"/>
  <cols>
    <col min="2" max="2" width="47.6328125" customWidth="1"/>
  </cols>
  <sheetData>
    <row r="1" spans="1:7" ht="15.75" customHeight="1" x14ac:dyDescent="0.35">
      <c r="A1" s="108" t="s">
        <v>0</v>
      </c>
      <c r="B1" s="109" t="s">
        <v>1</v>
      </c>
      <c r="C1" s="111" t="s">
        <v>2</v>
      </c>
      <c r="D1" s="104"/>
      <c r="E1" s="105"/>
    </row>
    <row r="2" spans="1:7" ht="13" x14ac:dyDescent="0.3">
      <c r="A2" s="102"/>
      <c r="B2" s="110"/>
      <c r="C2" s="23" t="s">
        <v>3</v>
      </c>
      <c r="D2" s="23" t="s">
        <v>4</v>
      </c>
      <c r="E2" s="23" t="s">
        <v>5</v>
      </c>
    </row>
    <row r="3" spans="1:7" ht="12.5" x14ac:dyDescent="0.25">
      <c r="A3" s="107" t="s">
        <v>7</v>
      </c>
      <c r="B3" s="24" t="s">
        <v>8</v>
      </c>
      <c r="C3" s="25">
        <v>43186</v>
      </c>
      <c r="D3" s="26">
        <v>0</v>
      </c>
      <c r="E3" s="24" t="s">
        <v>15</v>
      </c>
      <c r="G3" s="36"/>
    </row>
    <row r="4" spans="1:7" ht="12.5" x14ac:dyDescent="0.25">
      <c r="A4" s="99"/>
      <c r="B4" s="24" t="s">
        <v>11</v>
      </c>
      <c r="C4" s="29">
        <v>43426</v>
      </c>
      <c r="D4" s="26">
        <f t="shared" ref="D4:D8" si="0">D3+"0:10:00"</f>
        <v>6.9444444444444441E-3</v>
      </c>
      <c r="E4" s="24" t="s">
        <v>15</v>
      </c>
      <c r="G4" s="36"/>
    </row>
    <row r="5" spans="1:7" ht="12.5" x14ac:dyDescent="0.25">
      <c r="A5" s="99"/>
      <c r="B5" s="24" t="s">
        <v>14</v>
      </c>
      <c r="C5" s="25">
        <v>43771</v>
      </c>
      <c r="D5" s="26">
        <f t="shared" si="0"/>
        <v>1.3888888888888888E-2</v>
      </c>
      <c r="E5" s="24" t="s">
        <v>15</v>
      </c>
      <c r="G5" s="36"/>
    </row>
    <row r="6" spans="1:7" ht="12.5" x14ac:dyDescent="0.25">
      <c r="A6" s="99"/>
      <c r="B6" s="24" t="s">
        <v>17</v>
      </c>
      <c r="C6" s="29">
        <v>44157</v>
      </c>
      <c r="D6" s="26">
        <f t="shared" si="0"/>
        <v>2.0833333333333332E-2</v>
      </c>
      <c r="E6" s="24" t="s">
        <v>15</v>
      </c>
      <c r="G6" s="36"/>
    </row>
    <row r="7" spans="1:7" ht="12.5" x14ac:dyDescent="0.25">
      <c r="A7" s="99"/>
      <c r="B7" s="24" t="s">
        <v>18</v>
      </c>
      <c r="C7" s="29">
        <v>44156</v>
      </c>
      <c r="D7" s="26">
        <f t="shared" si="0"/>
        <v>2.7777777777777776E-2</v>
      </c>
      <c r="E7" s="24" t="s">
        <v>15</v>
      </c>
      <c r="G7" s="36"/>
    </row>
    <row r="8" spans="1:7" ht="12.5" x14ac:dyDescent="0.25">
      <c r="A8" s="99"/>
      <c r="B8" s="24" t="s">
        <v>20</v>
      </c>
      <c r="C8" s="29">
        <v>44156</v>
      </c>
      <c r="D8" s="26">
        <f t="shared" si="0"/>
        <v>3.4722222222222224E-2</v>
      </c>
      <c r="E8" s="24" t="s">
        <v>15</v>
      </c>
      <c r="G8" s="36"/>
    </row>
    <row r="9" spans="1:7" ht="12.5" x14ac:dyDescent="0.25">
      <c r="A9" s="99"/>
      <c r="B9" s="24" t="s">
        <v>22</v>
      </c>
      <c r="C9" s="29">
        <v>44157</v>
      </c>
      <c r="D9" s="26">
        <f>D8+"0:30:00"</f>
        <v>5.5555555555555552E-2</v>
      </c>
      <c r="E9" s="24" t="s">
        <v>15</v>
      </c>
      <c r="G9" s="36"/>
    </row>
    <row r="10" spans="1:7" ht="12.5" x14ac:dyDescent="0.25">
      <c r="A10" s="100"/>
      <c r="B10" s="30" t="s">
        <v>24</v>
      </c>
      <c r="C10" s="31">
        <v>44157</v>
      </c>
      <c r="D10" s="26">
        <f t="shared" ref="D10:D13" si="1">D9+"0:10:00"</f>
        <v>6.25E-2</v>
      </c>
      <c r="E10" s="30" t="s">
        <v>15</v>
      </c>
      <c r="G10" s="36"/>
    </row>
    <row r="11" spans="1:7" ht="12.5" x14ac:dyDescent="0.25">
      <c r="A11" s="107" t="s">
        <v>26</v>
      </c>
      <c r="B11" s="24" t="s">
        <v>8</v>
      </c>
      <c r="C11" s="25">
        <v>43186</v>
      </c>
      <c r="D11" s="26">
        <f t="shared" si="1"/>
        <v>6.9444444444444448E-2</v>
      </c>
      <c r="E11" s="24" t="s">
        <v>15</v>
      </c>
      <c r="G11" s="36"/>
    </row>
    <row r="12" spans="1:7" ht="12.5" x14ac:dyDescent="0.25">
      <c r="A12" s="99"/>
      <c r="B12" s="24" t="s">
        <v>28</v>
      </c>
      <c r="C12" s="29">
        <v>43426</v>
      </c>
      <c r="D12" s="26">
        <f t="shared" si="1"/>
        <v>7.6388888888888895E-2</v>
      </c>
      <c r="E12" s="24" t="s">
        <v>15</v>
      </c>
      <c r="G12" s="36"/>
    </row>
    <row r="13" spans="1:7" ht="12.5" x14ac:dyDescent="0.25">
      <c r="A13" s="99"/>
      <c r="B13" s="24" t="s">
        <v>31</v>
      </c>
      <c r="C13" s="29">
        <v>44156</v>
      </c>
      <c r="D13" s="26">
        <f t="shared" si="1"/>
        <v>8.3333333333333343E-2</v>
      </c>
      <c r="E13" s="24" t="s">
        <v>15</v>
      </c>
      <c r="G13" s="36"/>
    </row>
    <row r="14" spans="1:7" ht="12.5" x14ac:dyDescent="0.25">
      <c r="A14" s="100"/>
      <c r="B14" s="30" t="s">
        <v>22</v>
      </c>
      <c r="C14" s="31">
        <v>44157</v>
      </c>
      <c r="D14" s="26">
        <f>D13+"0:15:00"</f>
        <v>9.3750000000000014E-2</v>
      </c>
      <c r="E14" s="30" t="s">
        <v>15</v>
      </c>
      <c r="G14" s="36"/>
    </row>
    <row r="15" spans="1:7" ht="12.5" x14ac:dyDescent="0.25">
      <c r="A15" s="107" t="s">
        <v>34</v>
      </c>
      <c r="B15" s="24" t="s">
        <v>8</v>
      </c>
      <c r="C15" s="25">
        <v>43438</v>
      </c>
      <c r="D15" s="26">
        <f t="shared" ref="D15:D18" si="2">D14+"0:10:00"</f>
        <v>0.10069444444444446</v>
      </c>
      <c r="E15" s="24" t="s">
        <v>15</v>
      </c>
      <c r="G15" s="36"/>
    </row>
    <row r="16" spans="1:7" ht="12.5" x14ac:dyDescent="0.25">
      <c r="A16" s="99"/>
      <c r="B16" s="24" t="s">
        <v>35</v>
      </c>
      <c r="C16" s="29">
        <v>43445</v>
      </c>
      <c r="D16" s="26">
        <f t="shared" si="2"/>
        <v>0.10763888888888891</v>
      </c>
      <c r="E16" s="24" t="s">
        <v>15</v>
      </c>
      <c r="G16" s="36"/>
    </row>
    <row r="17" spans="1:7" ht="12.5" x14ac:dyDescent="0.25">
      <c r="A17" s="99"/>
      <c r="B17" s="24" t="s">
        <v>36</v>
      </c>
      <c r="C17" s="25">
        <v>43573</v>
      </c>
      <c r="D17" s="26">
        <f t="shared" si="2"/>
        <v>0.11458333333333336</v>
      </c>
      <c r="E17" s="24" t="s">
        <v>29</v>
      </c>
      <c r="G17" s="36"/>
    </row>
    <row r="18" spans="1:7" ht="12.5" x14ac:dyDescent="0.25">
      <c r="A18" s="99"/>
      <c r="B18" s="24" t="s">
        <v>31</v>
      </c>
      <c r="C18" s="29">
        <v>44156</v>
      </c>
      <c r="D18" s="26">
        <f t="shared" si="2"/>
        <v>0.1215277777777778</v>
      </c>
      <c r="E18" s="24" t="s">
        <v>15</v>
      </c>
      <c r="G18" s="36"/>
    </row>
    <row r="19" spans="1:7" ht="12.5" x14ac:dyDescent="0.25">
      <c r="A19" s="100"/>
      <c r="B19" s="30" t="s">
        <v>22</v>
      </c>
      <c r="C19" s="31">
        <v>44157</v>
      </c>
      <c r="D19" s="26">
        <f>D18+"0:15:00"</f>
        <v>0.13194444444444448</v>
      </c>
      <c r="E19" s="30" t="s">
        <v>15</v>
      </c>
      <c r="G19" s="36"/>
    </row>
    <row r="20" spans="1:7" ht="12.5" x14ac:dyDescent="0.25">
      <c r="A20" s="107" t="s">
        <v>39</v>
      </c>
      <c r="B20" s="24" t="s">
        <v>8</v>
      </c>
      <c r="C20" s="25">
        <v>43408</v>
      </c>
      <c r="D20" s="26">
        <f>D19+"0:10:00"</f>
        <v>0.13888888888888892</v>
      </c>
      <c r="E20" s="24" t="s">
        <v>9</v>
      </c>
      <c r="G20" s="36"/>
    </row>
    <row r="21" spans="1:7" ht="12.5" x14ac:dyDescent="0.25">
      <c r="A21" s="99"/>
      <c r="B21" s="24" t="s">
        <v>40</v>
      </c>
      <c r="C21" s="25">
        <v>43537</v>
      </c>
      <c r="D21" s="26">
        <f t="shared" ref="D21:D22" si="3">D20+"0:15:00"</f>
        <v>0.14930555555555558</v>
      </c>
      <c r="E21" s="24" t="s">
        <v>15</v>
      </c>
      <c r="G21" s="36"/>
    </row>
    <row r="22" spans="1:7" ht="12.5" x14ac:dyDescent="0.25">
      <c r="A22" s="99"/>
      <c r="B22" s="24" t="s">
        <v>42</v>
      </c>
      <c r="C22" s="25">
        <v>43600</v>
      </c>
      <c r="D22" s="26">
        <f t="shared" si="3"/>
        <v>0.15972222222222224</v>
      </c>
      <c r="E22" s="24" t="s">
        <v>15</v>
      </c>
      <c r="G22" s="36"/>
    </row>
    <row r="23" spans="1:7" ht="12.5" x14ac:dyDescent="0.25">
      <c r="A23" s="99"/>
      <c r="B23" s="24" t="s">
        <v>28</v>
      </c>
      <c r="C23" s="29">
        <v>43426</v>
      </c>
      <c r="D23" s="26">
        <f>D22+"0:20:00"</f>
        <v>0.17361111111111113</v>
      </c>
      <c r="E23" s="24" t="s">
        <v>15</v>
      </c>
      <c r="G23" s="36"/>
    </row>
    <row r="24" spans="1:7" ht="12.5" x14ac:dyDescent="0.25">
      <c r="A24" s="99"/>
      <c r="B24" s="24" t="s">
        <v>44</v>
      </c>
      <c r="C24" s="29">
        <v>43796</v>
      </c>
      <c r="D24" s="26">
        <f>D23+"0:10:00"</f>
        <v>0.18055555555555558</v>
      </c>
      <c r="E24" s="24" t="s">
        <v>15</v>
      </c>
      <c r="G24" s="36"/>
    </row>
    <row r="25" spans="1:7" ht="12.5" x14ac:dyDescent="0.25">
      <c r="A25" s="99"/>
      <c r="B25" s="24" t="s">
        <v>17</v>
      </c>
      <c r="C25" s="29">
        <v>44156</v>
      </c>
      <c r="D25" s="26">
        <f>D24+"0:30:00"</f>
        <v>0.20138888888888892</v>
      </c>
      <c r="E25" s="24" t="s">
        <v>15</v>
      </c>
      <c r="G25" s="36"/>
    </row>
    <row r="26" spans="1:7" ht="12.5" x14ac:dyDescent="0.25">
      <c r="A26" s="100"/>
      <c r="B26" s="30" t="s">
        <v>22</v>
      </c>
      <c r="C26" s="31">
        <v>44157</v>
      </c>
      <c r="D26" s="26">
        <f>D25+"0:15:00"</f>
        <v>0.21180555555555558</v>
      </c>
      <c r="E26" s="30" t="s">
        <v>15</v>
      </c>
      <c r="G26" s="36"/>
    </row>
    <row r="27" spans="1:7" ht="12.5" x14ac:dyDescent="0.25">
      <c r="A27" s="107" t="s">
        <v>46</v>
      </c>
      <c r="B27" s="24" t="s">
        <v>47</v>
      </c>
      <c r="C27" s="25">
        <v>43186</v>
      </c>
      <c r="D27" s="26">
        <f>D26+"0:10:00"</f>
        <v>0.21875000000000003</v>
      </c>
      <c r="E27" s="24" t="s">
        <v>15</v>
      </c>
      <c r="G27" s="36"/>
    </row>
    <row r="28" spans="1:7" ht="12.5" x14ac:dyDescent="0.25">
      <c r="A28" s="99"/>
      <c r="B28" s="24" t="s">
        <v>49</v>
      </c>
      <c r="C28" s="29">
        <v>44523</v>
      </c>
      <c r="D28" s="26">
        <f t="shared" ref="D28:D40" si="4">D27+"0:05:00"</f>
        <v>0.22222222222222224</v>
      </c>
      <c r="E28" s="24" t="s">
        <v>15</v>
      </c>
      <c r="G28" s="36"/>
    </row>
    <row r="29" spans="1:7" ht="12.5" x14ac:dyDescent="0.25">
      <c r="A29" s="99"/>
      <c r="B29" s="24" t="s">
        <v>50</v>
      </c>
      <c r="C29" s="29">
        <v>44523</v>
      </c>
      <c r="D29" s="26">
        <f t="shared" si="4"/>
        <v>0.22569444444444445</v>
      </c>
      <c r="E29" s="24" t="s">
        <v>15</v>
      </c>
      <c r="G29" s="36"/>
    </row>
    <row r="30" spans="1:7" ht="12.5" x14ac:dyDescent="0.25">
      <c r="A30" s="99"/>
      <c r="B30" s="24" t="s">
        <v>51</v>
      </c>
      <c r="C30" s="29">
        <v>44875</v>
      </c>
      <c r="D30" s="26">
        <f t="shared" si="4"/>
        <v>0.22916666666666666</v>
      </c>
      <c r="E30" s="24" t="s">
        <v>15</v>
      </c>
      <c r="G30" s="36"/>
    </row>
    <row r="31" spans="1:7" ht="12.5" x14ac:dyDescent="0.25">
      <c r="A31" s="99"/>
      <c r="B31" s="24" t="s">
        <v>28</v>
      </c>
      <c r="C31" s="29">
        <v>43426</v>
      </c>
      <c r="D31" s="26">
        <f t="shared" si="4"/>
        <v>0.23263888888888887</v>
      </c>
      <c r="E31" s="24" t="s">
        <v>15</v>
      </c>
      <c r="G31" s="36"/>
    </row>
    <row r="32" spans="1:7" ht="12.5" x14ac:dyDescent="0.25">
      <c r="A32" s="99"/>
      <c r="B32" s="24" t="s">
        <v>53</v>
      </c>
      <c r="C32" s="29">
        <v>44540</v>
      </c>
      <c r="D32" s="26">
        <f t="shared" si="4"/>
        <v>0.23611111111111108</v>
      </c>
      <c r="E32" s="24" t="s">
        <v>15</v>
      </c>
      <c r="G32" s="36"/>
    </row>
    <row r="33" spans="1:7" ht="12.5" x14ac:dyDescent="0.25">
      <c r="A33" s="99"/>
      <c r="B33" s="24" t="s">
        <v>54</v>
      </c>
      <c r="C33" s="25">
        <v>44574</v>
      </c>
      <c r="D33" s="26">
        <f t="shared" si="4"/>
        <v>0.23958333333333329</v>
      </c>
      <c r="E33" s="24" t="s">
        <v>15</v>
      </c>
      <c r="G33" s="36"/>
    </row>
    <row r="34" spans="1:7" ht="12.5" x14ac:dyDescent="0.25">
      <c r="A34" s="99"/>
      <c r="B34" s="24" t="s">
        <v>55</v>
      </c>
      <c r="C34" s="25">
        <v>44593</v>
      </c>
      <c r="D34" s="26">
        <f t="shared" si="4"/>
        <v>0.2430555555555555</v>
      </c>
      <c r="E34" s="24" t="s">
        <v>15</v>
      </c>
      <c r="G34" s="36"/>
    </row>
    <row r="35" spans="1:7" ht="12.5" x14ac:dyDescent="0.25">
      <c r="A35" s="99"/>
      <c r="B35" s="24" t="s">
        <v>57</v>
      </c>
      <c r="C35" s="29">
        <v>44540</v>
      </c>
      <c r="D35" s="26">
        <f t="shared" si="4"/>
        <v>0.24652777777777771</v>
      </c>
      <c r="E35" s="24" t="s">
        <v>15</v>
      </c>
      <c r="G35" s="36"/>
    </row>
    <row r="36" spans="1:7" ht="12.5" x14ac:dyDescent="0.25">
      <c r="A36" s="99"/>
      <c r="B36" s="24" t="s">
        <v>58</v>
      </c>
      <c r="C36" s="25">
        <v>44574</v>
      </c>
      <c r="D36" s="26">
        <f t="shared" si="4"/>
        <v>0.24999999999999992</v>
      </c>
      <c r="E36" s="24" t="s">
        <v>15</v>
      </c>
      <c r="G36" s="36"/>
    </row>
    <row r="37" spans="1:7" ht="12.5" x14ac:dyDescent="0.25">
      <c r="A37" s="99"/>
      <c r="B37" s="24" t="s">
        <v>59</v>
      </c>
      <c r="C37" s="25">
        <v>44574</v>
      </c>
      <c r="D37" s="26">
        <f t="shared" si="4"/>
        <v>0.25347222222222215</v>
      </c>
      <c r="E37" s="24" t="s">
        <v>15</v>
      </c>
      <c r="G37" s="36"/>
    </row>
    <row r="38" spans="1:7" ht="12.5" x14ac:dyDescent="0.25">
      <c r="A38" s="99"/>
      <c r="B38" s="24" t="s">
        <v>61</v>
      </c>
      <c r="C38" s="25">
        <v>44574</v>
      </c>
      <c r="D38" s="26">
        <f t="shared" si="4"/>
        <v>0.25694444444444436</v>
      </c>
      <c r="E38" s="24" t="s">
        <v>15</v>
      </c>
      <c r="G38" s="36"/>
    </row>
    <row r="39" spans="1:7" ht="12.5" x14ac:dyDescent="0.25">
      <c r="A39" s="99"/>
      <c r="B39" s="24" t="s">
        <v>63</v>
      </c>
      <c r="C39" s="25">
        <v>44574</v>
      </c>
      <c r="D39" s="26">
        <f t="shared" si="4"/>
        <v>0.26041666666666657</v>
      </c>
      <c r="E39" s="24" t="s">
        <v>15</v>
      </c>
      <c r="G39" s="36"/>
    </row>
    <row r="40" spans="1:7" ht="12.5" x14ac:dyDescent="0.25">
      <c r="A40" s="100"/>
      <c r="B40" s="30" t="s">
        <v>65</v>
      </c>
      <c r="C40" s="34">
        <v>44574</v>
      </c>
      <c r="D40" s="26">
        <f t="shared" si="4"/>
        <v>0.26388888888888878</v>
      </c>
      <c r="E40" s="35" t="s">
        <v>15</v>
      </c>
      <c r="G40" s="36"/>
    </row>
  </sheetData>
  <mergeCells count="8">
    <mergeCell ref="A27:A40"/>
    <mergeCell ref="A1:A2"/>
    <mergeCell ref="B1:B2"/>
    <mergeCell ref="C1:E1"/>
    <mergeCell ref="A3:A10"/>
    <mergeCell ref="A11:A14"/>
    <mergeCell ref="A15:A19"/>
    <mergeCell ref="A20:A26"/>
  </mergeCells>
  <pageMargins left="0" right="0" top="0" bottom="0" header="0" footer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05E66-06E2-4DAD-808F-5F2EC6BABF66}">
  <dimension ref="A1:H40"/>
  <sheetViews>
    <sheetView topLeftCell="A6" zoomScale="140" zoomScaleNormal="140" workbookViewId="0">
      <selection activeCell="B25" sqref="B25"/>
    </sheetView>
  </sheetViews>
  <sheetFormatPr baseColWidth="10" defaultColWidth="8.90625" defaultRowHeight="12.5" x14ac:dyDescent="0.25"/>
  <cols>
    <col min="1" max="1" width="12.6328125" bestFit="1" customWidth="1"/>
    <col min="2" max="2" width="54.90625" bestFit="1" customWidth="1"/>
    <col min="3" max="3" width="10.453125" bestFit="1" customWidth="1"/>
    <col min="4" max="4" width="19.90625" customWidth="1"/>
    <col min="5" max="5" width="11.08984375" bestFit="1" customWidth="1"/>
    <col min="7" max="7" width="10.453125" bestFit="1" customWidth="1"/>
  </cols>
  <sheetData>
    <row r="1" spans="1:8" ht="15.5" x14ac:dyDescent="0.35">
      <c r="A1" s="108" t="s">
        <v>0</v>
      </c>
      <c r="B1" s="109" t="s">
        <v>1</v>
      </c>
      <c r="C1" s="111" t="s">
        <v>2</v>
      </c>
      <c r="D1" s="104"/>
      <c r="E1" s="105"/>
    </row>
    <row r="2" spans="1:8" ht="13" x14ac:dyDescent="0.3">
      <c r="A2" s="102"/>
      <c r="B2" s="110"/>
      <c r="C2" s="23" t="s">
        <v>3</v>
      </c>
      <c r="D2" s="23" t="s">
        <v>4</v>
      </c>
      <c r="E2" s="23" t="s">
        <v>5</v>
      </c>
    </row>
    <row r="3" spans="1:8" x14ac:dyDescent="0.25">
      <c r="A3" s="107" t="s">
        <v>7</v>
      </c>
      <c r="B3" s="24" t="s">
        <v>8</v>
      </c>
      <c r="C3" s="25">
        <v>43186</v>
      </c>
      <c r="D3" s="38">
        <v>0</v>
      </c>
      <c r="E3" s="24" t="s">
        <v>15</v>
      </c>
      <c r="G3" s="37"/>
    </row>
    <row r="4" spans="1:8" x14ac:dyDescent="0.25">
      <c r="A4" s="99"/>
      <c r="B4" s="24" t="s">
        <v>11</v>
      </c>
      <c r="C4" s="29">
        <v>43426</v>
      </c>
      <c r="D4" s="38">
        <v>0.15277777777777779</v>
      </c>
      <c r="E4" s="24" t="s">
        <v>15</v>
      </c>
      <c r="G4" s="37"/>
      <c r="H4" s="37"/>
    </row>
    <row r="5" spans="1:8" x14ac:dyDescent="0.25">
      <c r="A5" s="99"/>
      <c r="B5" s="39" t="s">
        <v>14</v>
      </c>
      <c r="C5" s="25">
        <v>43771</v>
      </c>
      <c r="D5" s="38">
        <v>0.15625</v>
      </c>
      <c r="E5" s="24" t="s">
        <v>15</v>
      </c>
      <c r="G5" s="37"/>
      <c r="H5" s="37"/>
    </row>
    <row r="6" spans="1:8" x14ac:dyDescent="0.25">
      <c r="A6" s="99"/>
      <c r="B6" s="24" t="s">
        <v>17</v>
      </c>
      <c r="C6" s="29">
        <v>44157</v>
      </c>
      <c r="D6" s="38">
        <v>0.15972222222222224</v>
      </c>
      <c r="E6" s="24" t="s">
        <v>15</v>
      </c>
      <c r="G6" s="37"/>
      <c r="H6" s="37"/>
    </row>
    <row r="7" spans="1:8" x14ac:dyDescent="0.25">
      <c r="A7" s="99"/>
      <c r="B7" s="24" t="s">
        <v>18</v>
      </c>
      <c r="C7" s="29">
        <v>44156</v>
      </c>
      <c r="D7" s="38">
        <v>0.17361111111111113</v>
      </c>
      <c r="E7" s="24" t="s">
        <v>15</v>
      </c>
      <c r="G7" s="37"/>
    </row>
    <row r="8" spans="1:8" x14ac:dyDescent="0.25">
      <c r="A8" s="99"/>
      <c r="B8" s="24" t="s">
        <v>20</v>
      </c>
      <c r="C8" s="29">
        <v>44156</v>
      </c>
      <c r="D8" s="38">
        <v>0.18055555555555558</v>
      </c>
      <c r="E8" s="24" t="s">
        <v>15</v>
      </c>
      <c r="G8" s="37"/>
      <c r="H8" s="37"/>
    </row>
    <row r="9" spans="1:8" x14ac:dyDescent="0.25">
      <c r="A9" s="99"/>
      <c r="B9" s="24" t="s">
        <v>22</v>
      </c>
      <c r="C9" s="29">
        <v>44157</v>
      </c>
      <c r="D9" s="38">
        <v>0.22222222222222221</v>
      </c>
      <c r="E9" s="24" t="s">
        <v>15</v>
      </c>
      <c r="G9" s="37"/>
      <c r="H9" s="37"/>
    </row>
    <row r="10" spans="1:8" x14ac:dyDescent="0.25">
      <c r="A10" s="100"/>
      <c r="B10" s="30" t="s">
        <v>24</v>
      </c>
      <c r="C10" s="31">
        <v>44157</v>
      </c>
      <c r="D10" s="38">
        <v>0.22916666666666666</v>
      </c>
      <c r="E10" s="30" t="s">
        <v>15</v>
      </c>
      <c r="G10" s="37"/>
      <c r="H10" s="37"/>
    </row>
    <row r="11" spans="1:8" x14ac:dyDescent="0.25">
      <c r="A11" s="107" t="s">
        <v>26</v>
      </c>
      <c r="B11" s="24" t="s">
        <v>8</v>
      </c>
      <c r="C11" s="25">
        <v>43186</v>
      </c>
      <c r="D11" s="38">
        <v>2.0833333333333332E-2</v>
      </c>
      <c r="E11" s="24" t="s">
        <v>15</v>
      </c>
      <c r="G11" s="37"/>
    </row>
    <row r="12" spans="1:8" x14ac:dyDescent="0.25">
      <c r="A12" s="99"/>
      <c r="B12" s="24" t="s">
        <v>28</v>
      </c>
      <c r="C12" s="29">
        <v>43426</v>
      </c>
      <c r="D12" s="38">
        <v>0.23611111111111113</v>
      </c>
      <c r="E12" s="24" t="s">
        <v>15</v>
      </c>
      <c r="G12" s="37"/>
      <c r="H12" s="37"/>
    </row>
    <row r="13" spans="1:8" x14ac:dyDescent="0.25">
      <c r="A13" s="99"/>
      <c r="B13" s="24" t="s">
        <v>31</v>
      </c>
      <c r="C13" s="29">
        <v>44156</v>
      </c>
      <c r="D13" s="38">
        <v>0.24305555555555555</v>
      </c>
      <c r="E13" s="24" t="s">
        <v>15</v>
      </c>
      <c r="G13" s="37"/>
      <c r="H13" s="37"/>
    </row>
    <row r="14" spans="1:8" x14ac:dyDescent="0.25">
      <c r="A14" s="100"/>
      <c r="B14" s="30" t="s">
        <v>22</v>
      </c>
      <c r="C14" s="31">
        <v>44157</v>
      </c>
      <c r="D14" s="38">
        <v>0.25</v>
      </c>
      <c r="E14" s="30" t="s">
        <v>15</v>
      </c>
      <c r="G14" s="37"/>
      <c r="H14" s="37"/>
    </row>
    <row r="15" spans="1:8" x14ac:dyDescent="0.25">
      <c r="A15" s="107" t="s">
        <v>34</v>
      </c>
      <c r="B15" s="24" t="s">
        <v>8</v>
      </c>
      <c r="C15" s="25">
        <v>43438</v>
      </c>
      <c r="D15" s="38">
        <v>3.125E-2</v>
      </c>
      <c r="E15" s="24" t="s">
        <v>15</v>
      </c>
      <c r="G15" s="37"/>
    </row>
    <row r="16" spans="1:8" x14ac:dyDescent="0.25">
      <c r="A16" s="99"/>
      <c r="B16" s="24" t="s">
        <v>35</v>
      </c>
      <c r="C16" s="29">
        <v>43445</v>
      </c>
      <c r="D16" s="38">
        <v>0.25694444444444448</v>
      </c>
      <c r="E16" s="24" t="s">
        <v>15</v>
      </c>
      <c r="G16" s="37"/>
      <c r="H16" s="37"/>
    </row>
    <row r="17" spans="1:8" x14ac:dyDescent="0.25">
      <c r="A17" s="99"/>
      <c r="B17" s="24" t="s">
        <v>36</v>
      </c>
      <c r="C17" s="25">
        <v>43573</v>
      </c>
      <c r="D17" s="38">
        <v>0.26041666666666669</v>
      </c>
      <c r="E17" s="24" t="s">
        <v>29</v>
      </c>
      <c r="G17" s="37"/>
      <c r="H17" s="37"/>
    </row>
    <row r="18" spans="1:8" x14ac:dyDescent="0.25">
      <c r="A18" s="99"/>
      <c r="B18" s="24" t="s">
        <v>31</v>
      </c>
      <c r="C18" s="29">
        <v>44156</v>
      </c>
      <c r="D18" s="38">
        <v>0.2673611111111111</v>
      </c>
      <c r="E18" s="24" t="s">
        <v>15</v>
      </c>
      <c r="G18" s="37"/>
      <c r="H18" s="37"/>
    </row>
    <row r="19" spans="1:8" x14ac:dyDescent="0.25">
      <c r="A19" s="100"/>
      <c r="B19" s="30" t="s">
        <v>22</v>
      </c>
      <c r="C19" s="31">
        <v>44157</v>
      </c>
      <c r="D19" s="38">
        <v>0.27777777777777779</v>
      </c>
      <c r="E19" s="30" t="s">
        <v>15</v>
      </c>
      <c r="G19" s="37"/>
    </row>
    <row r="20" spans="1:8" x14ac:dyDescent="0.25">
      <c r="A20" s="107" t="s">
        <v>39</v>
      </c>
      <c r="B20" s="24" t="s">
        <v>8</v>
      </c>
      <c r="C20" s="25">
        <v>43408</v>
      </c>
      <c r="D20" s="38">
        <v>4.1666666666666664E-2</v>
      </c>
      <c r="E20" s="24" t="s">
        <v>9</v>
      </c>
      <c r="G20" s="37"/>
    </row>
    <row r="21" spans="1:8" x14ac:dyDescent="0.25">
      <c r="A21" s="99"/>
      <c r="B21" s="24" t="s">
        <v>40</v>
      </c>
      <c r="C21" s="25">
        <v>43537</v>
      </c>
      <c r="D21" s="38">
        <v>0.28472222222222221</v>
      </c>
      <c r="E21" s="24" t="s">
        <v>15</v>
      </c>
      <c r="G21" s="37"/>
      <c r="H21" s="37"/>
    </row>
    <row r="22" spans="1:8" x14ac:dyDescent="0.25">
      <c r="A22" s="99"/>
      <c r="B22" s="24" t="s">
        <v>42</v>
      </c>
      <c r="C22" s="25">
        <v>43600</v>
      </c>
      <c r="D22" s="38">
        <v>0.29166666666666669</v>
      </c>
      <c r="E22" s="24" t="s">
        <v>15</v>
      </c>
      <c r="G22" s="37"/>
      <c r="H22" s="37"/>
    </row>
    <row r="23" spans="1:8" x14ac:dyDescent="0.25">
      <c r="A23" s="99"/>
      <c r="B23" s="24" t="s">
        <v>28</v>
      </c>
      <c r="C23" s="29">
        <v>43426</v>
      </c>
      <c r="D23" s="38">
        <v>0.30555555555555552</v>
      </c>
      <c r="E23" s="24" t="s">
        <v>15</v>
      </c>
      <c r="G23" s="37"/>
      <c r="H23" s="37"/>
    </row>
    <row r="24" spans="1:8" x14ac:dyDescent="0.25">
      <c r="A24" s="99"/>
      <c r="B24" s="24" t="s">
        <v>44</v>
      </c>
      <c r="C24" s="29">
        <v>43796</v>
      </c>
      <c r="D24" s="38">
        <v>0.30902777777777779</v>
      </c>
      <c r="E24" s="24" t="s">
        <v>15</v>
      </c>
      <c r="G24" s="37"/>
      <c r="H24" s="37"/>
    </row>
    <row r="25" spans="1:8" x14ac:dyDescent="0.25">
      <c r="A25" s="99"/>
      <c r="B25" s="39" t="s">
        <v>17</v>
      </c>
      <c r="C25" s="29">
        <v>44156</v>
      </c>
      <c r="D25" s="38">
        <v>0.33333333333333331</v>
      </c>
      <c r="E25" s="24" t="s">
        <v>15</v>
      </c>
      <c r="G25" s="37"/>
      <c r="H25" s="37"/>
    </row>
    <row r="26" spans="1:8" x14ac:dyDescent="0.25">
      <c r="A26" s="100"/>
      <c r="B26" s="30" t="s">
        <v>22</v>
      </c>
      <c r="C26" s="31">
        <v>44157</v>
      </c>
      <c r="D26" s="38">
        <v>0.34027777777777773</v>
      </c>
      <c r="E26" s="30" t="s">
        <v>15</v>
      </c>
      <c r="G26" s="37"/>
      <c r="H26" s="37"/>
    </row>
    <row r="27" spans="1:8" x14ac:dyDescent="0.25">
      <c r="A27" s="107" t="s">
        <v>46</v>
      </c>
      <c r="B27" s="24" t="s">
        <v>47</v>
      </c>
      <c r="C27" s="25">
        <v>43186</v>
      </c>
      <c r="D27" s="38">
        <v>6.25E-2</v>
      </c>
      <c r="E27" s="24" t="s">
        <v>15</v>
      </c>
      <c r="G27" s="37"/>
    </row>
    <row r="28" spans="1:8" x14ac:dyDescent="0.25">
      <c r="A28" s="99"/>
      <c r="B28" s="24" t="s">
        <v>49</v>
      </c>
      <c r="C28" s="29">
        <v>44523</v>
      </c>
      <c r="D28" s="38">
        <v>0.34722222222222227</v>
      </c>
      <c r="E28" s="24" t="s">
        <v>15</v>
      </c>
      <c r="G28" s="37"/>
    </row>
    <row r="29" spans="1:8" x14ac:dyDescent="0.25">
      <c r="A29" s="99"/>
      <c r="B29" s="24" t="s">
        <v>50</v>
      </c>
      <c r="C29" s="29">
        <v>44523</v>
      </c>
      <c r="D29" s="38">
        <v>0.35069444444444448</v>
      </c>
      <c r="E29" s="24" t="s">
        <v>15</v>
      </c>
      <c r="G29" s="37"/>
    </row>
    <row r="30" spans="1:8" x14ac:dyDescent="0.25">
      <c r="A30" s="99"/>
      <c r="B30" s="24" t="s">
        <v>51</v>
      </c>
      <c r="C30" s="29">
        <v>44875</v>
      </c>
      <c r="D30" s="38">
        <v>0.35416666666666669</v>
      </c>
      <c r="E30" s="24" t="s">
        <v>15</v>
      </c>
      <c r="G30" s="37"/>
    </row>
    <row r="31" spans="1:8" x14ac:dyDescent="0.25">
      <c r="A31" s="99"/>
      <c r="B31" s="24" t="s">
        <v>28</v>
      </c>
      <c r="C31" s="29">
        <v>43426</v>
      </c>
      <c r="D31" s="38">
        <v>0.3576388888888889</v>
      </c>
      <c r="E31" s="24" t="s">
        <v>15</v>
      </c>
      <c r="G31" s="37"/>
    </row>
    <row r="32" spans="1:8" x14ac:dyDescent="0.25">
      <c r="A32" s="99"/>
      <c r="B32" s="24" t="s">
        <v>53</v>
      </c>
      <c r="C32" s="29">
        <v>44540</v>
      </c>
      <c r="D32" s="38">
        <v>0.3611111111111111</v>
      </c>
      <c r="E32" s="24" t="s">
        <v>15</v>
      </c>
      <c r="G32" s="37"/>
    </row>
    <row r="33" spans="1:7" x14ac:dyDescent="0.25">
      <c r="A33" s="99"/>
      <c r="B33" s="24" t="s">
        <v>54</v>
      </c>
      <c r="C33" s="25">
        <v>44574</v>
      </c>
      <c r="D33" s="38">
        <v>0.36458333333333331</v>
      </c>
      <c r="E33" s="24" t="s">
        <v>15</v>
      </c>
      <c r="G33" s="37"/>
    </row>
    <row r="34" spans="1:7" x14ac:dyDescent="0.25">
      <c r="A34" s="99"/>
      <c r="B34" s="24" t="s">
        <v>55</v>
      </c>
      <c r="C34" s="25">
        <v>44593</v>
      </c>
      <c r="D34" s="38">
        <v>0.36805555555555552</v>
      </c>
      <c r="E34" s="24" t="s">
        <v>15</v>
      </c>
      <c r="G34" s="37"/>
    </row>
    <row r="35" spans="1:7" x14ac:dyDescent="0.25">
      <c r="A35" s="99"/>
      <c r="B35" s="24" t="s">
        <v>57</v>
      </c>
      <c r="C35" s="29">
        <v>44540</v>
      </c>
      <c r="D35" s="38">
        <v>0.37152777777777773</v>
      </c>
      <c r="E35" s="24" t="s">
        <v>15</v>
      </c>
      <c r="G35" s="37"/>
    </row>
    <row r="36" spans="1:7" x14ac:dyDescent="0.25">
      <c r="A36" s="99"/>
      <c r="B36" s="24" t="s">
        <v>58</v>
      </c>
      <c r="C36" s="25">
        <v>44574</v>
      </c>
      <c r="D36" s="38">
        <v>0.37499999999999994</v>
      </c>
      <c r="E36" s="24" t="s">
        <v>15</v>
      </c>
      <c r="G36" s="37"/>
    </row>
    <row r="37" spans="1:7" x14ac:dyDescent="0.25">
      <c r="A37" s="99"/>
      <c r="B37" s="24" t="s">
        <v>59</v>
      </c>
      <c r="C37" s="25">
        <v>44574</v>
      </c>
      <c r="D37" s="38">
        <v>0.37847222222222215</v>
      </c>
      <c r="E37" s="24" t="s">
        <v>15</v>
      </c>
      <c r="G37" s="37"/>
    </row>
    <row r="38" spans="1:7" x14ac:dyDescent="0.25">
      <c r="A38" s="99"/>
      <c r="B38" s="24" t="s">
        <v>61</v>
      </c>
      <c r="C38" s="25">
        <v>44574</v>
      </c>
      <c r="D38" s="38">
        <v>0.38194444444444436</v>
      </c>
      <c r="E38" s="24" t="s">
        <v>15</v>
      </c>
      <c r="G38" s="37"/>
    </row>
    <row r="39" spans="1:7" x14ac:dyDescent="0.25">
      <c r="A39" s="99"/>
      <c r="B39" s="24" t="s">
        <v>63</v>
      </c>
      <c r="C39" s="25">
        <v>44574</v>
      </c>
      <c r="D39" s="38">
        <v>0.38541666666666657</v>
      </c>
      <c r="E39" s="24" t="s">
        <v>15</v>
      </c>
      <c r="G39" s="37"/>
    </row>
    <row r="40" spans="1:7" x14ac:dyDescent="0.25">
      <c r="A40" s="100"/>
      <c r="B40" s="30" t="s">
        <v>65</v>
      </c>
      <c r="C40" s="34">
        <v>44574</v>
      </c>
      <c r="D40" s="38">
        <v>0.38888888888888878</v>
      </c>
      <c r="E40" s="35" t="s">
        <v>15</v>
      </c>
      <c r="G40" s="37"/>
    </row>
  </sheetData>
  <mergeCells count="8">
    <mergeCell ref="A20:A26"/>
    <mergeCell ref="A27:A40"/>
    <mergeCell ref="A1:A2"/>
    <mergeCell ref="B1:B2"/>
    <mergeCell ref="C1:E1"/>
    <mergeCell ref="A3:A10"/>
    <mergeCell ref="A11:A14"/>
    <mergeCell ref="A15:A19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F17D1-89FC-4442-A2CA-607767E85431}">
  <dimension ref="A1:Q45"/>
  <sheetViews>
    <sheetView topLeftCell="C29" zoomScale="120" zoomScaleNormal="120" workbookViewId="0">
      <selection activeCell="M42" sqref="M42"/>
    </sheetView>
  </sheetViews>
  <sheetFormatPr baseColWidth="10" defaultRowHeight="12.5" x14ac:dyDescent="0.25"/>
  <cols>
    <col min="8" max="8" width="17" bestFit="1" customWidth="1"/>
    <col min="16" max="16" width="12.453125" bestFit="1" customWidth="1"/>
  </cols>
  <sheetData>
    <row r="1" spans="1:17" x14ac:dyDescent="0.25">
      <c r="A1" t="s">
        <v>71</v>
      </c>
      <c r="B1" t="s">
        <v>115</v>
      </c>
      <c r="C1" t="s">
        <v>87</v>
      </c>
      <c r="D1" t="s">
        <v>86</v>
      </c>
      <c r="E1" t="s">
        <v>72</v>
      </c>
      <c r="F1" t="s">
        <v>73</v>
      </c>
      <c r="H1" t="s">
        <v>74</v>
      </c>
      <c r="I1" t="s">
        <v>75</v>
      </c>
      <c r="J1" t="s">
        <v>80</v>
      </c>
      <c r="K1" t="s">
        <v>85</v>
      </c>
      <c r="L1" t="s">
        <v>84</v>
      </c>
      <c r="M1" t="s">
        <v>83</v>
      </c>
    </row>
    <row r="2" spans="1:17" s="40" customFormat="1" x14ac:dyDescent="0.25">
      <c r="A2" s="40">
        <v>44000</v>
      </c>
      <c r="B2" s="40">
        <v>15000</v>
      </c>
      <c r="C2" s="40">
        <v>171</v>
      </c>
      <c r="D2" s="40">
        <f>A2+B2+C2</f>
        <v>59171</v>
      </c>
      <c r="E2" s="40">
        <v>92671</v>
      </c>
      <c r="F2" s="40">
        <f>E2-D2</f>
        <v>33500</v>
      </c>
      <c r="H2" s="40">
        <v>0</v>
      </c>
      <c r="I2" s="44">
        <f>F2+H2</f>
        <v>33500</v>
      </c>
      <c r="J2" s="40">
        <v>0</v>
      </c>
      <c r="K2" s="40">
        <f>I2-J2</f>
        <v>33500</v>
      </c>
      <c r="L2" s="42">
        <v>0.13</v>
      </c>
      <c r="M2" s="40">
        <f>L2*K2+K2</f>
        <v>37855</v>
      </c>
    </row>
    <row r="3" spans="1:17" x14ac:dyDescent="0.25">
      <c r="D3" s="41"/>
      <c r="E3" s="40"/>
      <c r="M3" s="41">
        <f>M2-K2</f>
        <v>4355</v>
      </c>
      <c r="N3" s="41"/>
    </row>
    <row r="4" spans="1:17" x14ac:dyDescent="0.25">
      <c r="A4">
        <v>2000</v>
      </c>
      <c r="B4" t="s">
        <v>116</v>
      </c>
      <c r="E4">
        <v>92839.77</v>
      </c>
      <c r="J4" t="s">
        <v>76</v>
      </c>
    </row>
    <row r="5" spans="1:17" x14ac:dyDescent="0.25">
      <c r="A5" t="s">
        <v>117</v>
      </c>
      <c r="E5" s="41">
        <f>E4-E2</f>
        <v>168.77000000000407</v>
      </c>
      <c r="J5" t="s">
        <v>77</v>
      </c>
      <c r="K5" t="s">
        <v>78</v>
      </c>
      <c r="L5" t="s">
        <v>79</v>
      </c>
      <c r="M5" t="s">
        <v>101</v>
      </c>
      <c r="P5" t="s">
        <v>100</v>
      </c>
    </row>
    <row r="6" spans="1:17" x14ac:dyDescent="0.25">
      <c r="H6" s="41"/>
      <c r="I6" s="43">
        <v>1</v>
      </c>
      <c r="J6" t="s">
        <v>88</v>
      </c>
      <c r="K6" s="41">
        <v>3500</v>
      </c>
      <c r="L6" s="41">
        <f>K6+P6</f>
        <v>3500</v>
      </c>
      <c r="M6" s="41">
        <f>M$2-L6</f>
        <v>34355</v>
      </c>
      <c r="O6" t="s">
        <v>81</v>
      </c>
      <c r="P6" s="41">
        <v>0</v>
      </c>
      <c r="Q6" s="41">
        <v>0</v>
      </c>
    </row>
    <row r="7" spans="1:17" x14ac:dyDescent="0.25">
      <c r="I7">
        <v>2</v>
      </c>
      <c r="J7" t="s">
        <v>89</v>
      </c>
      <c r="K7" s="41">
        <v>3500</v>
      </c>
      <c r="L7" s="41">
        <f>L6+K7+P7</f>
        <v>7000</v>
      </c>
      <c r="M7" s="41">
        <f t="shared" ref="M7:M14" si="0">M$2-L7</f>
        <v>30855</v>
      </c>
      <c r="O7" t="s">
        <v>82</v>
      </c>
      <c r="P7" s="40">
        <v>0</v>
      </c>
      <c r="Q7" s="40">
        <v>0</v>
      </c>
    </row>
    <row r="8" spans="1:17" x14ac:dyDescent="0.25">
      <c r="I8">
        <v>3</v>
      </c>
      <c r="J8" t="s">
        <v>90</v>
      </c>
      <c r="K8" s="41">
        <v>3500</v>
      </c>
      <c r="L8" s="41">
        <f t="shared" ref="L8:L14" si="1">L7+K8</f>
        <v>10500</v>
      </c>
      <c r="M8" s="41">
        <f t="shared" si="0"/>
        <v>27355</v>
      </c>
    </row>
    <row r="9" spans="1:17" x14ac:dyDescent="0.25">
      <c r="I9">
        <v>4</v>
      </c>
      <c r="J9" t="s">
        <v>91</v>
      </c>
      <c r="K9" s="41">
        <v>3500</v>
      </c>
      <c r="L9" s="41">
        <f>L8+K9+P9</f>
        <v>19000</v>
      </c>
      <c r="M9" s="41">
        <f t="shared" si="0"/>
        <v>18855</v>
      </c>
      <c r="O9" t="s">
        <v>118</v>
      </c>
      <c r="P9" s="40">
        <v>5000</v>
      </c>
    </row>
    <row r="10" spans="1:17" x14ac:dyDescent="0.25">
      <c r="I10">
        <v>5</v>
      </c>
      <c r="J10" t="s">
        <v>92</v>
      </c>
      <c r="K10" s="41">
        <v>3500</v>
      </c>
      <c r="L10" s="41">
        <f t="shared" si="1"/>
        <v>22500</v>
      </c>
      <c r="M10" s="41">
        <f t="shared" si="0"/>
        <v>15355</v>
      </c>
    </row>
    <row r="11" spans="1:17" x14ac:dyDescent="0.25">
      <c r="I11">
        <v>6</v>
      </c>
      <c r="J11" t="s">
        <v>93</v>
      </c>
      <c r="K11" s="41">
        <v>3500</v>
      </c>
      <c r="L11" s="41">
        <f t="shared" si="1"/>
        <v>26000</v>
      </c>
      <c r="M11" s="41">
        <f t="shared" si="0"/>
        <v>11855</v>
      </c>
    </row>
    <row r="12" spans="1:17" x14ac:dyDescent="0.25">
      <c r="I12">
        <v>7</v>
      </c>
      <c r="J12" t="s">
        <v>94</v>
      </c>
      <c r="K12" s="41">
        <v>3500</v>
      </c>
      <c r="L12" s="41">
        <f t="shared" si="1"/>
        <v>29500</v>
      </c>
      <c r="M12" s="41">
        <f t="shared" si="0"/>
        <v>8355</v>
      </c>
    </row>
    <row r="13" spans="1:17" x14ac:dyDescent="0.25">
      <c r="I13">
        <v>8</v>
      </c>
      <c r="J13" t="s">
        <v>95</v>
      </c>
      <c r="K13" s="41">
        <v>3500</v>
      </c>
      <c r="L13" s="41">
        <f t="shared" si="1"/>
        <v>33000</v>
      </c>
      <c r="M13" s="41">
        <f t="shared" si="0"/>
        <v>4855</v>
      </c>
    </row>
    <row r="14" spans="1:17" x14ac:dyDescent="0.25">
      <c r="I14" s="46">
        <v>9</v>
      </c>
      <c r="J14" s="46" t="s">
        <v>96</v>
      </c>
      <c r="K14" s="47">
        <v>4855</v>
      </c>
      <c r="L14" s="47">
        <f t="shared" si="1"/>
        <v>37855</v>
      </c>
      <c r="M14" s="47">
        <f t="shared" si="0"/>
        <v>0</v>
      </c>
    </row>
    <row r="15" spans="1:17" x14ac:dyDescent="0.25">
      <c r="J15" t="s">
        <v>97</v>
      </c>
      <c r="K15" s="41">
        <v>0</v>
      </c>
      <c r="L15" s="41"/>
      <c r="M15" s="41"/>
    </row>
    <row r="16" spans="1:17" x14ac:dyDescent="0.25">
      <c r="J16" t="s">
        <v>98</v>
      </c>
      <c r="K16" s="41">
        <v>0</v>
      </c>
      <c r="L16" s="41"/>
      <c r="M16" s="41"/>
    </row>
    <row r="17" spans="10:13" x14ac:dyDescent="0.25">
      <c r="J17" t="s">
        <v>99</v>
      </c>
      <c r="K17" s="41">
        <v>0</v>
      </c>
      <c r="L17" s="41"/>
      <c r="M17" s="41"/>
    </row>
    <row r="18" spans="10:13" x14ac:dyDescent="0.25">
      <c r="L18" s="41">
        <f>K14-K13</f>
        <v>1355</v>
      </c>
    </row>
    <row r="20" spans="10:13" x14ac:dyDescent="0.25">
      <c r="J20" t="s">
        <v>76</v>
      </c>
    </row>
    <row r="21" spans="10:13" x14ac:dyDescent="0.25">
      <c r="J21" t="s">
        <v>103</v>
      </c>
      <c r="K21" t="s">
        <v>78</v>
      </c>
      <c r="L21" t="s">
        <v>79</v>
      </c>
      <c r="M21" t="s">
        <v>101</v>
      </c>
    </row>
    <row r="22" spans="10:13" x14ac:dyDescent="0.25">
      <c r="J22" s="75">
        <v>45596</v>
      </c>
      <c r="K22" s="40">
        <v>1750</v>
      </c>
      <c r="L22" s="40">
        <f>K22</f>
        <v>1750</v>
      </c>
      <c r="M22" s="41">
        <f>$M$2-L22</f>
        <v>36105</v>
      </c>
    </row>
    <row r="23" spans="10:13" x14ac:dyDescent="0.25">
      <c r="J23" s="75">
        <v>45611</v>
      </c>
      <c r="K23" s="40">
        <v>1750</v>
      </c>
      <c r="L23" s="40">
        <f>L22+K23</f>
        <v>3500</v>
      </c>
      <c r="M23" s="41">
        <f t="shared" ref="M23:M41" si="2">$M$2-L23</f>
        <v>34355</v>
      </c>
    </row>
    <row r="24" spans="10:13" x14ac:dyDescent="0.25">
      <c r="J24" s="75">
        <v>45625</v>
      </c>
      <c r="K24" s="40">
        <v>1750</v>
      </c>
      <c r="L24" s="40">
        <f t="shared" ref="L24:L28" si="3">L23+K24</f>
        <v>5250</v>
      </c>
      <c r="M24" s="41">
        <f t="shared" si="2"/>
        <v>32605</v>
      </c>
    </row>
    <row r="25" spans="10:13" x14ac:dyDescent="0.25">
      <c r="J25" s="75">
        <v>45639</v>
      </c>
      <c r="K25" s="40">
        <v>1750</v>
      </c>
      <c r="L25" s="40">
        <f t="shared" si="3"/>
        <v>7000</v>
      </c>
      <c r="M25" s="41">
        <f t="shared" si="2"/>
        <v>30855</v>
      </c>
    </row>
    <row r="26" spans="10:13" x14ac:dyDescent="0.25">
      <c r="J26" s="75">
        <v>45656</v>
      </c>
      <c r="K26" s="40">
        <v>1750</v>
      </c>
      <c r="L26" s="40">
        <f t="shared" si="3"/>
        <v>8750</v>
      </c>
      <c r="M26" s="41">
        <f t="shared" si="2"/>
        <v>29105</v>
      </c>
    </row>
    <row r="27" spans="10:13" x14ac:dyDescent="0.25">
      <c r="J27" s="75">
        <v>45306</v>
      </c>
      <c r="K27" s="40">
        <v>1750</v>
      </c>
      <c r="L27" s="40">
        <f t="shared" si="3"/>
        <v>10500</v>
      </c>
      <c r="M27" s="41">
        <f t="shared" si="2"/>
        <v>27355</v>
      </c>
    </row>
    <row r="28" spans="10:13" x14ac:dyDescent="0.25">
      <c r="J28" s="75">
        <v>45321</v>
      </c>
      <c r="K28" s="40">
        <v>1750</v>
      </c>
      <c r="L28" s="40">
        <f t="shared" si="3"/>
        <v>12250</v>
      </c>
      <c r="M28" s="41">
        <f t="shared" si="2"/>
        <v>25605</v>
      </c>
    </row>
    <row r="29" spans="10:13" x14ac:dyDescent="0.25">
      <c r="J29" s="75">
        <v>45337</v>
      </c>
      <c r="K29" s="40">
        <v>1750</v>
      </c>
      <c r="L29" s="40">
        <f t="shared" ref="L29:L34" si="4">L28+K29</f>
        <v>14000</v>
      </c>
      <c r="M29" s="41">
        <f t="shared" si="2"/>
        <v>23855</v>
      </c>
    </row>
    <row r="30" spans="10:13" x14ac:dyDescent="0.25">
      <c r="J30" s="75">
        <v>45350</v>
      </c>
      <c r="K30" s="55">
        <v>1750</v>
      </c>
      <c r="L30" s="55">
        <f t="shared" si="4"/>
        <v>15750</v>
      </c>
      <c r="M30" s="41">
        <f t="shared" si="2"/>
        <v>22105</v>
      </c>
    </row>
    <row r="31" spans="10:13" x14ac:dyDescent="0.25">
      <c r="J31" s="75">
        <v>45365</v>
      </c>
      <c r="K31" s="40">
        <v>1750</v>
      </c>
      <c r="L31" s="40">
        <f t="shared" si="4"/>
        <v>17500</v>
      </c>
      <c r="M31" s="41">
        <f t="shared" si="2"/>
        <v>20355</v>
      </c>
    </row>
    <row r="32" spans="10:13" x14ac:dyDescent="0.25">
      <c r="J32" s="75">
        <v>45379</v>
      </c>
      <c r="K32" s="40">
        <v>1750</v>
      </c>
      <c r="L32" s="55">
        <f>L31+K32</f>
        <v>19250</v>
      </c>
      <c r="M32" s="41">
        <f t="shared" si="2"/>
        <v>18605</v>
      </c>
    </row>
    <row r="33" spans="10:16" x14ac:dyDescent="0.25">
      <c r="J33" s="75">
        <v>45396</v>
      </c>
      <c r="K33" s="40">
        <v>1750</v>
      </c>
      <c r="L33" s="40">
        <f t="shared" si="4"/>
        <v>21000</v>
      </c>
      <c r="M33" s="41">
        <f t="shared" si="2"/>
        <v>16855</v>
      </c>
    </row>
    <row r="34" spans="10:16" x14ac:dyDescent="0.25">
      <c r="J34" s="75">
        <v>45410</v>
      </c>
      <c r="K34" s="40">
        <v>1750</v>
      </c>
      <c r="L34" s="40">
        <f t="shared" si="4"/>
        <v>22750</v>
      </c>
      <c r="M34" s="41">
        <f t="shared" si="2"/>
        <v>15105</v>
      </c>
    </row>
    <row r="35" spans="10:16" x14ac:dyDescent="0.25">
      <c r="J35" s="75">
        <v>45427</v>
      </c>
      <c r="K35" s="55">
        <v>1750</v>
      </c>
      <c r="L35" s="55">
        <f t="shared" ref="L35:L41" si="5">L34+K35</f>
        <v>24500</v>
      </c>
      <c r="M35" s="41">
        <f t="shared" si="2"/>
        <v>13355</v>
      </c>
    </row>
    <row r="36" spans="10:16" x14ac:dyDescent="0.25">
      <c r="J36" s="75">
        <v>45442</v>
      </c>
      <c r="K36" s="40">
        <v>1750</v>
      </c>
      <c r="L36" s="55">
        <f t="shared" si="5"/>
        <v>26250</v>
      </c>
      <c r="M36" s="41">
        <f t="shared" si="2"/>
        <v>11605</v>
      </c>
      <c r="P36" s="55"/>
    </row>
    <row r="37" spans="10:16" x14ac:dyDescent="0.25">
      <c r="J37" s="75">
        <v>45458</v>
      </c>
      <c r="K37" s="40">
        <v>1750</v>
      </c>
      <c r="L37" s="40">
        <f t="shared" si="5"/>
        <v>28000</v>
      </c>
      <c r="M37" s="41">
        <f t="shared" si="2"/>
        <v>9855</v>
      </c>
    </row>
    <row r="38" spans="10:16" x14ac:dyDescent="0.25">
      <c r="J38" s="75">
        <v>45473</v>
      </c>
      <c r="K38" s="40">
        <v>1750</v>
      </c>
      <c r="L38" s="40">
        <f t="shared" si="5"/>
        <v>29750</v>
      </c>
      <c r="M38" s="41">
        <f t="shared" si="2"/>
        <v>8105</v>
      </c>
    </row>
    <row r="39" spans="10:16" x14ac:dyDescent="0.25">
      <c r="J39" s="75">
        <v>45486</v>
      </c>
      <c r="K39" s="40">
        <v>1750</v>
      </c>
      <c r="L39" s="40">
        <f t="shared" si="5"/>
        <v>31500</v>
      </c>
      <c r="M39" s="41">
        <f t="shared" si="2"/>
        <v>6355</v>
      </c>
    </row>
    <row r="40" spans="10:16" x14ac:dyDescent="0.25">
      <c r="J40" s="75">
        <v>45503</v>
      </c>
      <c r="K40" s="40">
        <v>1000</v>
      </c>
      <c r="L40" s="55">
        <f t="shared" si="5"/>
        <v>32500</v>
      </c>
      <c r="M40" s="41">
        <f t="shared" si="2"/>
        <v>5355</v>
      </c>
    </row>
    <row r="41" spans="10:16" x14ac:dyDescent="0.25">
      <c r="J41" s="45">
        <v>45519</v>
      </c>
      <c r="K41" s="40">
        <v>1800</v>
      </c>
      <c r="L41" s="55">
        <f t="shared" si="5"/>
        <v>34300</v>
      </c>
      <c r="M41" s="41">
        <f t="shared" si="2"/>
        <v>3555</v>
      </c>
      <c r="N41" s="41"/>
    </row>
    <row r="42" spans="10:16" x14ac:dyDescent="0.25">
      <c r="J42" s="84">
        <v>45534</v>
      </c>
      <c r="K42" s="85">
        <v>1800</v>
      </c>
      <c r="L42" s="85">
        <f t="shared" ref="L42" si="6">L41+K42</f>
        <v>36100</v>
      </c>
      <c r="M42" s="93">
        <f>$M$2-L42</f>
        <v>1755</v>
      </c>
      <c r="N42" t="s">
        <v>333</v>
      </c>
    </row>
    <row r="43" spans="10:16" x14ac:dyDescent="0.25">
      <c r="K43" s="40"/>
      <c r="L43" s="40"/>
      <c r="M43" s="41"/>
    </row>
    <row r="44" spans="10:16" x14ac:dyDescent="0.25">
      <c r="K44" s="41"/>
    </row>
    <row r="45" spans="10:16" x14ac:dyDescent="0.25">
      <c r="L45" s="41"/>
      <c r="M45" s="41"/>
    </row>
  </sheetData>
  <phoneticPr fontId="9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1C644D-1D5E-440F-A8CA-C9D1D43141A6}">
  <dimension ref="A1:X31"/>
  <sheetViews>
    <sheetView zoomScale="130" zoomScaleNormal="130" workbookViewId="0">
      <selection activeCell="U24" sqref="U24"/>
    </sheetView>
  </sheetViews>
  <sheetFormatPr baseColWidth="10" defaultRowHeight="12.5" x14ac:dyDescent="0.25"/>
  <cols>
    <col min="1" max="1" width="16.81640625" bestFit="1" customWidth="1"/>
    <col min="2" max="2" width="21" bestFit="1" customWidth="1"/>
    <col min="3" max="3" width="14" bestFit="1" customWidth="1"/>
    <col min="9" max="9" width="12.453125" bestFit="1" customWidth="1"/>
    <col min="11" max="11" width="13.453125" bestFit="1" customWidth="1"/>
    <col min="12" max="12" width="12.453125" bestFit="1" customWidth="1"/>
    <col min="14" max="14" width="13.453125" bestFit="1" customWidth="1"/>
    <col min="15" max="15" width="11.453125" bestFit="1" customWidth="1"/>
    <col min="17" max="17" width="13.453125" bestFit="1" customWidth="1"/>
    <col min="20" max="20" width="15.453125" bestFit="1" customWidth="1"/>
  </cols>
  <sheetData>
    <row r="1" spans="1:9" x14ac:dyDescent="0.25">
      <c r="A1" s="112" t="s">
        <v>105</v>
      </c>
      <c r="B1" s="112"/>
      <c r="C1" s="112"/>
    </row>
    <row r="2" spans="1:9" x14ac:dyDescent="0.25">
      <c r="A2" s="43" t="s">
        <v>102</v>
      </c>
      <c r="B2" s="43" t="s">
        <v>103</v>
      </c>
      <c r="C2" s="43" t="s">
        <v>104</v>
      </c>
    </row>
    <row r="3" spans="1:9" x14ac:dyDescent="0.25">
      <c r="A3" s="44">
        <v>22000</v>
      </c>
      <c r="B3" s="44">
        <f>A3/2</f>
        <v>11000</v>
      </c>
      <c r="C3" s="44">
        <v>2700</v>
      </c>
    </row>
    <row r="4" spans="1:9" x14ac:dyDescent="0.25">
      <c r="A4" s="44"/>
      <c r="B4" s="44"/>
      <c r="C4" s="44"/>
    </row>
    <row r="5" spans="1:9" x14ac:dyDescent="0.25">
      <c r="B5" s="45">
        <v>45580</v>
      </c>
      <c r="C5" s="45">
        <v>45595</v>
      </c>
      <c r="D5" s="45">
        <v>45611</v>
      </c>
      <c r="E5" s="45">
        <v>45626</v>
      </c>
      <c r="F5" s="45">
        <v>45641</v>
      </c>
      <c r="G5" s="45">
        <v>45656</v>
      </c>
    </row>
    <row r="6" spans="1:9" x14ac:dyDescent="0.25">
      <c r="A6" t="s">
        <v>119</v>
      </c>
      <c r="C6" s="53">
        <v>3117.15</v>
      </c>
    </row>
    <row r="7" spans="1:9" x14ac:dyDescent="0.25">
      <c r="A7" s="60" t="s">
        <v>123</v>
      </c>
      <c r="B7" s="40">
        <f>C7+C8+C9+C12+C13</f>
        <v>2662.5</v>
      </c>
      <c r="C7" s="54">
        <v>450</v>
      </c>
      <c r="D7" s="41">
        <v>0</v>
      </c>
      <c r="E7" s="40">
        <v>1000</v>
      </c>
      <c r="F7" s="40">
        <v>500</v>
      </c>
      <c r="G7" s="40">
        <v>500</v>
      </c>
    </row>
    <row r="8" spans="1:9" x14ac:dyDescent="0.25">
      <c r="A8" s="51" t="s">
        <v>106</v>
      </c>
      <c r="B8" s="40"/>
      <c r="C8" s="54">
        <v>0</v>
      </c>
      <c r="D8" s="56">
        <v>1000</v>
      </c>
      <c r="E8" s="40">
        <v>500</v>
      </c>
      <c r="F8" s="40">
        <v>500</v>
      </c>
      <c r="G8" s="40">
        <v>500</v>
      </c>
      <c r="I8" s="40"/>
    </row>
    <row r="9" spans="1:9" x14ac:dyDescent="0.25">
      <c r="A9" s="51" t="s">
        <v>107</v>
      </c>
      <c r="B9" s="40"/>
      <c r="C9" s="55">
        <v>400</v>
      </c>
      <c r="D9" s="40">
        <v>0</v>
      </c>
      <c r="E9" s="40">
        <v>200</v>
      </c>
      <c r="F9" s="40">
        <v>200</v>
      </c>
      <c r="G9" s="40">
        <v>200</v>
      </c>
      <c r="I9" s="40"/>
    </row>
    <row r="10" spans="1:9" x14ac:dyDescent="0.25">
      <c r="A10" s="52" t="s">
        <v>109</v>
      </c>
      <c r="B10" s="40"/>
      <c r="C10" s="44">
        <v>0</v>
      </c>
      <c r="D10" s="56">
        <v>281</v>
      </c>
      <c r="E10" s="44">
        <v>0</v>
      </c>
      <c r="F10" s="44">
        <v>281</v>
      </c>
      <c r="G10" s="44">
        <v>0</v>
      </c>
      <c r="H10" s="41">
        <f>D10+D12+D14+D15</f>
        <v>6531</v>
      </c>
      <c r="I10" s="44"/>
    </row>
    <row r="11" spans="1:9" x14ac:dyDescent="0.25">
      <c r="A11" s="52" t="s">
        <v>110</v>
      </c>
      <c r="B11" s="40"/>
      <c r="C11" s="40">
        <v>0</v>
      </c>
      <c r="D11" s="40">
        <v>0</v>
      </c>
      <c r="E11" s="40">
        <v>0</v>
      </c>
      <c r="F11" s="40">
        <v>0</v>
      </c>
      <c r="G11" s="40">
        <v>0</v>
      </c>
      <c r="I11" s="40"/>
    </row>
    <row r="12" spans="1:9" x14ac:dyDescent="0.25">
      <c r="A12" s="51" t="s">
        <v>111</v>
      </c>
      <c r="B12" s="40"/>
      <c r="C12" s="53">
        <f>3500/2</f>
        <v>1750</v>
      </c>
      <c r="D12" s="56">
        <f t="shared" ref="D12:G12" si="0">3500/2</f>
        <v>1750</v>
      </c>
      <c r="E12" s="40">
        <f t="shared" si="0"/>
        <v>1750</v>
      </c>
      <c r="F12" s="40">
        <f t="shared" si="0"/>
        <v>1750</v>
      </c>
      <c r="G12" s="40">
        <f t="shared" si="0"/>
        <v>1750</v>
      </c>
      <c r="I12" s="40"/>
    </row>
    <row r="13" spans="1:9" x14ac:dyDescent="0.25">
      <c r="A13" s="51" t="s">
        <v>108</v>
      </c>
      <c r="B13" s="40"/>
      <c r="C13" s="40">
        <v>62.5</v>
      </c>
      <c r="D13" s="40">
        <v>0</v>
      </c>
      <c r="E13" s="40">
        <v>0</v>
      </c>
      <c r="F13" s="40">
        <v>0</v>
      </c>
      <c r="G13" s="40">
        <v>0</v>
      </c>
      <c r="I13" s="40"/>
    </row>
    <row r="14" spans="1:9" x14ac:dyDescent="0.25">
      <c r="A14" t="s">
        <v>112</v>
      </c>
      <c r="B14" s="41"/>
      <c r="C14" s="40">
        <v>3000</v>
      </c>
      <c r="D14" s="56">
        <v>4000</v>
      </c>
      <c r="E14" s="40">
        <v>3000</v>
      </c>
      <c r="F14" s="40">
        <v>3500</v>
      </c>
      <c r="G14" s="40">
        <v>3000</v>
      </c>
      <c r="I14" s="40"/>
    </row>
    <row r="15" spans="1:9" x14ac:dyDescent="0.25">
      <c r="A15" s="52" t="s">
        <v>81</v>
      </c>
      <c r="B15" s="40"/>
      <c r="C15" s="54">
        <v>500</v>
      </c>
      <c r="D15" s="56">
        <v>500</v>
      </c>
      <c r="E15" s="40">
        <v>250</v>
      </c>
      <c r="F15" s="40">
        <f t="shared" ref="F15:G15" si="1">E15</f>
        <v>250</v>
      </c>
      <c r="G15" s="40">
        <f t="shared" si="1"/>
        <v>250</v>
      </c>
      <c r="I15" s="40"/>
    </row>
    <row r="16" spans="1:9" x14ac:dyDescent="0.25">
      <c r="A16" t="s">
        <v>114</v>
      </c>
      <c r="B16" s="40">
        <v>0</v>
      </c>
      <c r="C16" s="56">
        <v>1156.8499999999999</v>
      </c>
      <c r="D16" s="40">
        <v>0</v>
      </c>
      <c r="E16" s="40">
        <v>2137</v>
      </c>
      <c r="F16" s="40">
        <v>0</v>
      </c>
      <c r="G16" s="40">
        <v>2137</v>
      </c>
      <c r="I16" s="40"/>
    </row>
    <row r="17" spans="1:24" x14ac:dyDescent="0.25">
      <c r="A17" t="s">
        <v>113</v>
      </c>
      <c r="B17" s="41"/>
      <c r="C17" s="41">
        <f>SUM(C6:C16)</f>
        <v>10436.5</v>
      </c>
      <c r="D17" s="41">
        <f t="shared" ref="D17:G17" si="2">SUM(D7:D16)</f>
        <v>7531</v>
      </c>
      <c r="E17" s="41">
        <f t="shared" si="2"/>
        <v>8837</v>
      </c>
      <c r="F17" s="41">
        <f t="shared" si="2"/>
        <v>6981</v>
      </c>
      <c r="G17" s="41">
        <f t="shared" si="2"/>
        <v>8337</v>
      </c>
      <c r="I17" s="41"/>
    </row>
    <row r="19" spans="1:24" x14ac:dyDescent="0.25">
      <c r="B19" s="41"/>
      <c r="C19" s="48">
        <v>0</v>
      </c>
      <c r="D19" s="41">
        <f t="shared" ref="D19:G19" si="3">$B$3-D17</f>
        <v>3469</v>
      </c>
      <c r="E19" s="41">
        <f t="shared" si="3"/>
        <v>2163</v>
      </c>
      <c r="F19" s="41">
        <f t="shared" si="3"/>
        <v>4019</v>
      </c>
      <c r="G19" s="41">
        <f t="shared" si="3"/>
        <v>2663</v>
      </c>
      <c r="H19" s="41"/>
      <c r="I19" s="41">
        <f>F19+G19+F22</f>
        <v>17682</v>
      </c>
      <c r="J19" s="61"/>
      <c r="K19" s="63" t="s">
        <v>129</v>
      </c>
      <c r="L19" s="64"/>
      <c r="N19" s="65" t="s">
        <v>130</v>
      </c>
      <c r="O19" s="67"/>
      <c r="Q19" s="61" t="s">
        <v>131</v>
      </c>
      <c r="T19" s="68" t="s">
        <v>133</v>
      </c>
      <c r="U19" s="69"/>
      <c r="W19" s="61" t="s">
        <v>135</v>
      </c>
    </row>
    <row r="20" spans="1:24" x14ac:dyDescent="0.25">
      <c r="B20" s="41"/>
      <c r="C20" s="49" t="s">
        <v>81</v>
      </c>
      <c r="D20" s="50">
        <v>0</v>
      </c>
      <c r="I20" s="41"/>
      <c r="J20" s="41"/>
      <c r="K20" s="65" t="s">
        <v>125</v>
      </c>
      <c r="L20" s="66">
        <f>2700+1300+1250</f>
        <v>5250</v>
      </c>
      <c r="N20" s="65" t="s">
        <v>125</v>
      </c>
      <c r="O20" s="66">
        <v>5000</v>
      </c>
      <c r="Q20" s="65" t="s">
        <v>132</v>
      </c>
      <c r="R20" s="67">
        <v>2500</v>
      </c>
      <c r="T20" s="70" t="s">
        <v>134</v>
      </c>
      <c r="U20" s="71">
        <v>10000</v>
      </c>
      <c r="W20" s="65" t="s">
        <v>134</v>
      </c>
      <c r="X20" s="66">
        <v>10000</v>
      </c>
    </row>
    <row r="21" spans="1:24" ht="37.5" x14ac:dyDescent="0.25">
      <c r="B21" s="41"/>
      <c r="C21" s="73" t="s">
        <v>139</v>
      </c>
      <c r="D21" s="49"/>
      <c r="K21" s="65" t="s">
        <v>128</v>
      </c>
      <c r="L21" s="66">
        <v>5000</v>
      </c>
      <c r="N21" s="65" t="s">
        <v>128</v>
      </c>
      <c r="O21" s="66">
        <v>5000</v>
      </c>
      <c r="Q21" s="65" t="s">
        <v>125</v>
      </c>
      <c r="R21" s="67">
        <v>2500</v>
      </c>
      <c r="T21" s="70" t="s">
        <v>125</v>
      </c>
      <c r="U21" s="71">
        <v>1000</v>
      </c>
      <c r="W21" s="61" t="s">
        <v>136</v>
      </c>
      <c r="X21">
        <v>6000</v>
      </c>
    </row>
    <row r="22" spans="1:24" ht="25" x14ac:dyDescent="0.25">
      <c r="B22" s="41"/>
      <c r="C22" s="62" t="s">
        <v>124</v>
      </c>
      <c r="D22" s="61">
        <v>3000</v>
      </c>
      <c r="F22" s="40">
        <v>11000</v>
      </c>
      <c r="K22" s="65" t="s">
        <v>126</v>
      </c>
      <c r="L22" s="66">
        <v>1000</v>
      </c>
      <c r="N22" s="65" t="s">
        <v>126</v>
      </c>
      <c r="O22" s="66">
        <v>2000</v>
      </c>
      <c r="Q22" s="65" t="s">
        <v>128</v>
      </c>
      <c r="R22" s="67">
        <v>4000</v>
      </c>
      <c r="T22" s="70" t="s">
        <v>128</v>
      </c>
      <c r="U22" s="71">
        <v>2000</v>
      </c>
      <c r="W22" s="65" t="s">
        <v>126</v>
      </c>
      <c r="X22" s="66">
        <v>1000</v>
      </c>
    </row>
    <row r="23" spans="1:24" x14ac:dyDescent="0.25">
      <c r="C23" t="s">
        <v>138</v>
      </c>
      <c r="D23" s="41">
        <f>SUM(D19:D22)</f>
        <v>6469</v>
      </c>
      <c r="E23" s="41"/>
      <c r="K23" s="65" t="s">
        <v>127</v>
      </c>
      <c r="L23" s="66">
        <v>0</v>
      </c>
      <c r="N23" s="65" t="s">
        <v>127</v>
      </c>
      <c r="O23" s="66">
        <v>5000</v>
      </c>
      <c r="Q23" s="65" t="s">
        <v>126</v>
      </c>
      <c r="R23" s="67">
        <v>2000</v>
      </c>
      <c r="T23" s="70" t="s">
        <v>126</v>
      </c>
      <c r="U23" s="71">
        <v>2000</v>
      </c>
    </row>
    <row r="24" spans="1:24" x14ac:dyDescent="0.25">
      <c r="L24" s="41">
        <f>SUM(L20:L23)</f>
        <v>11250</v>
      </c>
      <c r="O24" s="41">
        <f>SUM(O20:O23)</f>
        <v>17000</v>
      </c>
      <c r="Q24" s="65" t="s">
        <v>127</v>
      </c>
      <c r="R24" s="67">
        <v>6000</v>
      </c>
      <c r="T24" s="70" t="s">
        <v>127</v>
      </c>
      <c r="U24" s="71">
        <v>2000</v>
      </c>
    </row>
    <row r="25" spans="1:24" x14ac:dyDescent="0.25">
      <c r="D25" s="41"/>
      <c r="R25" s="40">
        <f>SUM(R20:R24)</f>
        <v>17000</v>
      </c>
      <c r="T25" s="69"/>
      <c r="U25" s="72">
        <f>SUM(U20:U24)</f>
        <v>17000</v>
      </c>
    </row>
    <row r="26" spans="1:24" x14ac:dyDescent="0.25">
      <c r="C26" s="41" t="s">
        <v>121</v>
      </c>
      <c r="D26" s="40">
        <v>3000</v>
      </c>
    </row>
    <row r="27" spans="1:24" x14ac:dyDescent="0.25">
      <c r="C27" t="s">
        <v>120</v>
      </c>
      <c r="D27" s="56">
        <v>1100</v>
      </c>
      <c r="E27" s="41"/>
    </row>
    <row r="28" spans="1:24" x14ac:dyDescent="0.25">
      <c r="C28" s="57" t="s">
        <v>122</v>
      </c>
      <c r="D28" s="74">
        <v>2032</v>
      </c>
      <c r="E28" t="s">
        <v>140</v>
      </c>
    </row>
    <row r="29" spans="1:24" x14ac:dyDescent="0.25">
      <c r="C29" s="58" t="s">
        <v>137</v>
      </c>
      <c r="D29" s="59">
        <v>187</v>
      </c>
    </row>
    <row r="31" spans="1:24" x14ac:dyDescent="0.25">
      <c r="D31" s="41">
        <f>D23-SUM(D26:D29)</f>
        <v>150</v>
      </c>
    </row>
  </sheetData>
  <mergeCells count="1">
    <mergeCell ref="A1:C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E3747-54A9-4C6E-B207-C6815611C0CB}">
  <dimension ref="A1:H23"/>
  <sheetViews>
    <sheetView zoomScale="140" zoomScaleNormal="140" workbookViewId="0">
      <selection activeCell="G9" sqref="G9"/>
    </sheetView>
  </sheetViews>
  <sheetFormatPr baseColWidth="10" defaultRowHeight="12.5" x14ac:dyDescent="0.25"/>
  <cols>
    <col min="1" max="1" width="16.90625" bestFit="1" customWidth="1"/>
    <col min="4" max="4" width="17.90625" customWidth="1"/>
  </cols>
  <sheetData>
    <row r="1" spans="1:8" x14ac:dyDescent="0.25">
      <c r="A1" s="43" t="s">
        <v>102</v>
      </c>
      <c r="C1" t="s">
        <v>143</v>
      </c>
    </row>
    <row r="2" spans="1:8" x14ac:dyDescent="0.25">
      <c r="A2" s="44">
        <f>11160*2</f>
        <v>22320</v>
      </c>
      <c r="C2">
        <v>11000</v>
      </c>
    </row>
    <row r="3" spans="1:8" x14ac:dyDescent="0.25">
      <c r="A3" s="44"/>
    </row>
    <row r="4" spans="1:8" x14ac:dyDescent="0.25">
      <c r="B4" s="45">
        <v>45639</v>
      </c>
      <c r="C4" s="45">
        <v>45656</v>
      </c>
      <c r="F4" t="s">
        <v>144</v>
      </c>
      <c r="G4">
        <v>500</v>
      </c>
    </row>
    <row r="5" spans="1:8" x14ac:dyDescent="0.25">
      <c r="A5" t="s">
        <v>141</v>
      </c>
      <c r="B5" s="40">
        <f>3413.22-2649.83</f>
        <v>763.38999999999987</v>
      </c>
      <c r="C5">
        <v>0</v>
      </c>
      <c r="D5" s="41">
        <f>B5+B6</f>
        <v>2660.39</v>
      </c>
      <c r="F5" t="s">
        <v>152</v>
      </c>
      <c r="G5">
        <v>500</v>
      </c>
    </row>
    <row r="6" spans="1:8" x14ac:dyDescent="0.25">
      <c r="A6" t="s">
        <v>142</v>
      </c>
      <c r="B6" s="40">
        <f>(5694-1900)/2</f>
        <v>1897</v>
      </c>
      <c r="C6" s="40">
        <v>1071.0899999999999</v>
      </c>
      <c r="F6" t="s">
        <v>145</v>
      </c>
      <c r="G6">
        <v>300</v>
      </c>
    </row>
    <row r="7" spans="1:8" x14ac:dyDescent="0.25">
      <c r="A7" t="s">
        <v>106</v>
      </c>
      <c r="B7" s="40">
        <v>1000</v>
      </c>
      <c r="C7">
        <v>1000</v>
      </c>
      <c r="F7" t="s">
        <v>146</v>
      </c>
      <c r="G7">
        <v>300</v>
      </c>
    </row>
    <row r="8" spans="1:8" x14ac:dyDescent="0.25">
      <c r="A8" t="s">
        <v>111</v>
      </c>
      <c r="B8" s="40">
        <v>1750</v>
      </c>
      <c r="C8" s="40">
        <v>1750</v>
      </c>
      <c r="F8" t="s">
        <v>147</v>
      </c>
      <c r="G8">
        <v>3000</v>
      </c>
    </row>
    <row r="9" spans="1:8" x14ac:dyDescent="0.25">
      <c r="A9" t="s">
        <v>112</v>
      </c>
      <c r="B9" s="40">
        <v>3500</v>
      </c>
      <c r="C9">
        <v>3000</v>
      </c>
      <c r="F9" t="s">
        <v>148</v>
      </c>
      <c r="G9">
        <v>3000</v>
      </c>
    </row>
    <row r="10" spans="1:8" x14ac:dyDescent="0.25">
      <c r="A10" t="s">
        <v>81</v>
      </c>
      <c r="B10" s="40">
        <v>500</v>
      </c>
      <c r="C10" s="40">
        <v>0</v>
      </c>
      <c r="F10" t="s">
        <v>149</v>
      </c>
      <c r="G10">
        <v>3400</v>
      </c>
      <c r="H10" s="41">
        <f>G10+B17+C17</f>
        <v>8873.52</v>
      </c>
    </row>
    <row r="11" spans="1:8" x14ac:dyDescent="0.25">
      <c r="A11" t="s">
        <v>151</v>
      </c>
      <c r="B11" s="40">
        <v>250</v>
      </c>
      <c r="C11">
        <v>365</v>
      </c>
      <c r="D11" s="113" t="s">
        <v>153</v>
      </c>
    </row>
    <row r="12" spans="1:8" ht="24" customHeight="1" x14ac:dyDescent="0.25">
      <c r="D12" s="113"/>
      <c r="F12" t="s">
        <v>113</v>
      </c>
      <c r="G12">
        <f>SUM(G4:G10)</f>
        <v>11000</v>
      </c>
    </row>
    <row r="14" spans="1:8" x14ac:dyDescent="0.25">
      <c r="D14" t="s">
        <v>157</v>
      </c>
    </row>
    <row r="15" spans="1:8" x14ac:dyDescent="0.25">
      <c r="B15" s="40"/>
      <c r="D15" t="s">
        <v>156</v>
      </c>
    </row>
    <row r="16" spans="1:8" x14ac:dyDescent="0.25">
      <c r="A16" t="s">
        <v>113</v>
      </c>
      <c r="B16" s="40">
        <f>SUM(B5:B11)</f>
        <v>9660.39</v>
      </c>
      <c r="C16" s="40">
        <f>SUM(C5:C11)</f>
        <v>7186.09</v>
      </c>
      <c r="D16" s="41"/>
    </row>
    <row r="17" spans="1:8" x14ac:dyDescent="0.25">
      <c r="A17" s="46" t="s">
        <v>150</v>
      </c>
      <c r="B17" s="47">
        <f>(A2/2)-B16</f>
        <v>1499.6100000000006</v>
      </c>
      <c r="C17" s="47">
        <f>(A2/2)-C16</f>
        <v>3973.91</v>
      </c>
      <c r="D17" t="s">
        <v>155</v>
      </c>
    </row>
    <row r="21" spans="1:8" x14ac:dyDescent="0.25">
      <c r="F21" t="s">
        <v>154</v>
      </c>
      <c r="G21">
        <v>4000</v>
      </c>
      <c r="H21">
        <v>6813.9</v>
      </c>
    </row>
    <row r="22" spans="1:8" x14ac:dyDescent="0.25">
      <c r="F22" t="s">
        <v>125</v>
      </c>
      <c r="G22">
        <f>H21-G21</f>
        <v>2813.8999999999996</v>
      </c>
    </row>
    <row r="23" spans="1:8" x14ac:dyDescent="0.25">
      <c r="F23" t="s">
        <v>106</v>
      </c>
      <c r="G23">
        <v>1000</v>
      </c>
    </row>
  </sheetData>
  <mergeCells count="1">
    <mergeCell ref="D11:D1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3B70B0-218C-4888-B023-A61C8E5481A1}">
  <dimension ref="A1:M18"/>
  <sheetViews>
    <sheetView workbookViewId="0">
      <selection activeCell="F7" sqref="F7"/>
    </sheetView>
  </sheetViews>
  <sheetFormatPr baseColWidth="10" defaultRowHeight="12.5" x14ac:dyDescent="0.25"/>
  <cols>
    <col min="1" max="1" width="14.54296875" bestFit="1" customWidth="1"/>
    <col min="12" max="12" width="17.1796875" bestFit="1" customWidth="1"/>
  </cols>
  <sheetData>
    <row r="1" spans="1:13" x14ac:dyDescent="0.25">
      <c r="A1" t="s">
        <v>158</v>
      </c>
      <c r="B1" s="40">
        <v>10805</v>
      </c>
      <c r="C1">
        <v>11000</v>
      </c>
    </row>
    <row r="2" spans="1:13" x14ac:dyDescent="0.25">
      <c r="A2" t="s">
        <v>142</v>
      </c>
      <c r="B2" s="40">
        <f>9306.88-980</f>
        <v>8326.8799999999992</v>
      </c>
      <c r="C2">
        <v>1011.9</v>
      </c>
    </row>
    <row r="3" spans="1:13" x14ac:dyDescent="0.25">
      <c r="A3" s="112" t="s">
        <v>159</v>
      </c>
      <c r="B3" s="112"/>
    </row>
    <row r="4" spans="1:13" x14ac:dyDescent="0.25">
      <c r="A4" s="77"/>
      <c r="B4" s="77" t="s">
        <v>173</v>
      </c>
      <c r="C4" t="s">
        <v>174</v>
      </c>
      <c r="L4" t="s">
        <v>175</v>
      </c>
    </row>
    <row r="5" spans="1:13" x14ac:dyDescent="0.25">
      <c r="A5" t="s">
        <v>141</v>
      </c>
      <c r="B5" s="40">
        <v>0</v>
      </c>
      <c r="C5">
        <v>0</v>
      </c>
      <c r="F5" t="s">
        <v>169</v>
      </c>
      <c r="L5" t="s">
        <v>176</v>
      </c>
      <c r="M5" s="40">
        <f>10000-2500</f>
        <v>7500</v>
      </c>
    </row>
    <row r="6" spans="1:13" x14ac:dyDescent="0.25">
      <c r="A6" t="s">
        <v>165</v>
      </c>
      <c r="B6" s="48">
        <v>0</v>
      </c>
      <c r="C6" s="41">
        <v>0</v>
      </c>
      <c r="E6" t="s">
        <v>170</v>
      </c>
      <c r="F6" s="44">
        <v>25000</v>
      </c>
      <c r="L6" t="s">
        <v>177</v>
      </c>
      <c r="M6" s="40">
        <v>3000</v>
      </c>
    </row>
    <row r="7" spans="1:13" ht="25" x14ac:dyDescent="0.25">
      <c r="A7" t="s">
        <v>106</v>
      </c>
      <c r="B7" s="40">
        <v>0</v>
      </c>
      <c r="C7">
        <v>1000</v>
      </c>
      <c r="E7" s="57" t="s">
        <v>171</v>
      </c>
      <c r="F7" s="48">
        <f>F6-B2-C2</f>
        <v>15661.220000000003</v>
      </c>
      <c r="G7" t="s">
        <v>172</v>
      </c>
      <c r="L7" t="s">
        <v>178</v>
      </c>
      <c r="M7">
        <v>1000</v>
      </c>
    </row>
    <row r="8" spans="1:13" x14ac:dyDescent="0.25">
      <c r="A8" t="s">
        <v>160</v>
      </c>
      <c r="B8" s="40">
        <v>0</v>
      </c>
      <c r="C8" s="41">
        <v>450</v>
      </c>
      <c r="F8" s="41">
        <f>C17+B17</f>
        <v>3656.4799999999996</v>
      </c>
      <c r="L8" t="s">
        <v>180</v>
      </c>
      <c r="M8">
        <v>722</v>
      </c>
    </row>
    <row r="9" spans="1:13" x14ac:dyDescent="0.25">
      <c r="A9" t="s">
        <v>107</v>
      </c>
      <c r="B9" s="40">
        <v>400</v>
      </c>
      <c r="C9">
        <v>0</v>
      </c>
      <c r="L9" t="s">
        <v>182</v>
      </c>
      <c r="M9">
        <v>1628</v>
      </c>
    </row>
    <row r="10" spans="1:13" x14ac:dyDescent="0.25">
      <c r="A10" t="s">
        <v>161</v>
      </c>
      <c r="B10" s="40">
        <v>3000</v>
      </c>
      <c r="C10" s="41">
        <v>4000</v>
      </c>
      <c r="L10" t="s">
        <v>181</v>
      </c>
      <c r="M10">
        <v>1000</v>
      </c>
    </row>
    <row r="11" spans="1:13" x14ac:dyDescent="0.25">
      <c r="A11" t="s">
        <v>162</v>
      </c>
      <c r="B11" s="76">
        <v>1240</v>
      </c>
      <c r="C11">
        <v>0</v>
      </c>
      <c r="M11" s="41">
        <f>SUM(M5:M10)-M6</f>
        <v>11850</v>
      </c>
    </row>
    <row r="12" spans="1:13" x14ac:dyDescent="0.25">
      <c r="A12" t="s">
        <v>110</v>
      </c>
      <c r="B12" s="40">
        <v>365</v>
      </c>
      <c r="C12" s="41">
        <v>0</v>
      </c>
    </row>
    <row r="13" spans="1:13" x14ac:dyDescent="0.25">
      <c r="A13" t="s">
        <v>163</v>
      </c>
      <c r="B13" s="40">
        <v>1000</v>
      </c>
      <c r="C13">
        <v>500</v>
      </c>
    </row>
    <row r="14" spans="1:13" x14ac:dyDescent="0.25">
      <c r="A14" t="s">
        <v>164</v>
      </c>
      <c r="B14" s="76">
        <v>1750</v>
      </c>
      <c r="C14" s="41">
        <v>1750</v>
      </c>
    </row>
    <row r="15" spans="1:13" x14ac:dyDescent="0.25">
      <c r="A15" t="s">
        <v>179</v>
      </c>
      <c r="B15" s="40">
        <v>2143.52</v>
      </c>
      <c r="C15">
        <v>550</v>
      </c>
    </row>
    <row r="17" spans="1:3" x14ac:dyDescent="0.25">
      <c r="A17" t="s">
        <v>166</v>
      </c>
      <c r="B17" s="41">
        <f>B1-SUM(B5:B15)</f>
        <v>906.47999999999956</v>
      </c>
      <c r="C17" s="48">
        <f>C1-SUM(C5:C15)</f>
        <v>2750</v>
      </c>
    </row>
    <row r="18" spans="1:3" x14ac:dyDescent="0.25">
      <c r="C18" t="s">
        <v>168</v>
      </c>
    </row>
  </sheetData>
  <mergeCells count="1">
    <mergeCell ref="A3:B3"/>
  </mergeCells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1F8BF-7569-4077-B046-F35570BFB1A6}">
  <dimension ref="A1:D12"/>
  <sheetViews>
    <sheetView workbookViewId="0">
      <selection activeCell="B11" sqref="B11"/>
    </sheetView>
  </sheetViews>
  <sheetFormatPr baseColWidth="10" defaultRowHeight="12.5" x14ac:dyDescent="0.25"/>
  <cols>
    <col min="1" max="1" width="16.90625" bestFit="1" customWidth="1"/>
    <col min="2" max="2" width="11.54296875" style="40"/>
  </cols>
  <sheetData>
    <row r="1" spans="1:4" x14ac:dyDescent="0.25">
      <c r="A1" t="s">
        <v>167</v>
      </c>
      <c r="B1" s="40">
        <v>25000</v>
      </c>
    </row>
    <row r="3" spans="1:4" x14ac:dyDescent="0.25">
      <c r="A3" t="s">
        <v>183</v>
      </c>
    </row>
    <row r="4" spans="1:4" x14ac:dyDescent="0.25">
      <c r="A4" t="s">
        <v>184</v>
      </c>
      <c r="B4" s="40">
        <v>12525.58</v>
      </c>
    </row>
    <row r="5" spans="1:4" x14ac:dyDescent="0.25">
      <c r="A5" t="s">
        <v>186</v>
      </c>
      <c r="B5" s="40">
        <f>5189.46-2649.83</f>
        <v>2539.63</v>
      </c>
    </row>
    <row r="6" spans="1:4" x14ac:dyDescent="0.25">
      <c r="D6">
        <f>10094.79-5662.78</f>
        <v>4432.0100000000011</v>
      </c>
    </row>
    <row r="9" spans="1:4" x14ac:dyDescent="0.25">
      <c r="A9" s="46" t="s">
        <v>185</v>
      </c>
      <c r="B9" s="76">
        <f>B1-SUM(B4:B8)</f>
        <v>9934.7900000000009</v>
      </c>
      <c r="D9" s="41">
        <f>9994.79-B9</f>
        <v>60</v>
      </c>
    </row>
    <row r="11" spans="1:4" x14ac:dyDescent="0.25">
      <c r="A11" t="s">
        <v>187</v>
      </c>
    </row>
    <row r="12" spans="1:4" x14ac:dyDescent="0.25">
      <c r="A12" t="s">
        <v>188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0F008-47B5-40B0-9306-CD2636B2A57E}">
  <dimension ref="A1:C19"/>
  <sheetViews>
    <sheetView workbookViewId="0">
      <selection activeCell="D10" sqref="D10"/>
    </sheetView>
  </sheetViews>
  <sheetFormatPr baseColWidth="10" defaultRowHeight="12.5" x14ac:dyDescent="0.25"/>
  <cols>
    <col min="1" max="1" width="14.6328125" bestFit="1" customWidth="1"/>
  </cols>
  <sheetData>
    <row r="1" spans="1:3" x14ac:dyDescent="0.25">
      <c r="A1" t="s">
        <v>189</v>
      </c>
      <c r="B1">
        <v>14386</v>
      </c>
    </row>
    <row r="2" spans="1:3" x14ac:dyDescent="0.25">
      <c r="A2" t="s">
        <v>190</v>
      </c>
      <c r="B2">
        <f>16499-B1</f>
        <v>2113</v>
      </c>
      <c r="C2">
        <f>B2+B19</f>
        <v>9091</v>
      </c>
    </row>
    <row r="4" spans="1:3" x14ac:dyDescent="0.25">
      <c r="A4" t="s">
        <v>191</v>
      </c>
    </row>
    <row r="5" spans="1:3" x14ac:dyDescent="0.25">
      <c r="A5" t="s">
        <v>196</v>
      </c>
      <c r="B5">
        <v>2220</v>
      </c>
    </row>
    <row r="6" spans="1:3" x14ac:dyDescent="0.25">
      <c r="A6" t="s">
        <v>197</v>
      </c>
    </row>
    <row r="7" spans="1:3" x14ac:dyDescent="0.25">
      <c r="A7" t="s">
        <v>198</v>
      </c>
      <c r="B7">
        <v>2780</v>
      </c>
    </row>
    <row r="8" spans="1:3" x14ac:dyDescent="0.25">
      <c r="B8" s="43">
        <f>SUM(B5:B7)</f>
        <v>5000</v>
      </c>
    </row>
    <row r="9" spans="1:3" x14ac:dyDescent="0.25">
      <c r="A9" t="s">
        <v>159</v>
      </c>
    </row>
    <row r="10" spans="1:3" x14ac:dyDescent="0.25">
      <c r="A10" t="s">
        <v>195</v>
      </c>
      <c r="B10">
        <v>4000</v>
      </c>
    </row>
    <row r="11" spans="1:3" x14ac:dyDescent="0.25">
      <c r="A11" t="s">
        <v>193</v>
      </c>
      <c r="B11" s="78">
        <v>1750</v>
      </c>
    </row>
    <row r="12" spans="1:3" x14ac:dyDescent="0.25">
      <c r="A12" t="s">
        <v>106</v>
      </c>
      <c r="B12">
        <v>1000</v>
      </c>
      <c r="C12" t="s">
        <v>199</v>
      </c>
    </row>
    <row r="13" spans="1:3" x14ac:dyDescent="0.25">
      <c r="A13" t="s">
        <v>192</v>
      </c>
      <c r="B13" s="80">
        <v>6553</v>
      </c>
    </row>
    <row r="14" spans="1:3" x14ac:dyDescent="0.25">
      <c r="A14" t="s">
        <v>163</v>
      </c>
      <c r="B14" s="79">
        <v>0</v>
      </c>
    </row>
    <row r="15" spans="1:3" x14ac:dyDescent="0.25">
      <c r="A15" t="s">
        <v>110</v>
      </c>
      <c r="B15" s="79">
        <v>365</v>
      </c>
    </row>
    <row r="16" spans="1:3" x14ac:dyDescent="0.25">
      <c r="A16" t="s">
        <v>194</v>
      </c>
      <c r="B16" s="79">
        <v>40</v>
      </c>
    </row>
    <row r="17" spans="1:2" x14ac:dyDescent="0.25">
      <c r="A17" t="s">
        <v>160</v>
      </c>
      <c r="B17" s="79">
        <v>450</v>
      </c>
    </row>
    <row r="18" spans="1:2" x14ac:dyDescent="0.25">
      <c r="B18">
        <f>SUM(B13:B17)</f>
        <v>7408</v>
      </c>
    </row>
    <row r="19" spans="1:2" x14ac:dyDescent="0.25">
      <c r="B19">
        <f>B1-B18</f>
        <v>6978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62029E-A0F5-4083-B398-5CB09F531264}">
  <dimension ref="A1:L20"/>
  <sheetViews>
    <sheetView workbookViewId="0">
      <selection sqref="A1:B16"/>
    </sheetView>
  </sheetViews>
  <sheetFormatPr baseColWidth="10" defaultRowHeight="12.5" x14ac:dyDescent="0.25"/>
  <cols>
    <col min="1" max="1" width="18.1796875" bestFit="1" customWidth="1"/>
    <col min="3" max="3" width="17.6328125" bestFit="1" customWidth="1"/>
    <col min="4" max="4" width="16.36328125" bestFit="1" customWidth="1"/>
    <col min="8" max="8" width="14.90625" bestFit="1" customWidth="1"/>
  </cols>
  <sheetData>
    <row r="1" spans="1:12" x14ac:dyDescent="0.25">
      <c r="A1" t="s">
        <v>200</v>
      </c>
      <c r="B1">
        <v>11160</v>
      </c>
      <c r="C1" t="s">
        <v>214</v>
      </c>
      <c r="D1" s="79">
        <v>8429.81</v>
      </c>
    </row>
    <row r="2" spans="1:12" x14ac:dyDescent="0.25">
      <c r="C2" s="43" t="s">
        <v>215</v>
      </c>
      <c r="D2">
        <f>D1+1000+2000</f>
        <v>11429.81</v>
      </c>
    </row>
    <row r="3" spans="1:12" x14ac:dyDescent="0.25">
      <c r="C3" t="s">
        <v>202</v>
      </c>
      <c r="D3" t="s">
        <v>203</v>
      </c>
      <c r="E3" t="s">
        <v>201</v>
      </c>
    </row>
    <row r="4" spans="1:12" x14ac:dyDescent="0.25">
      <c r="C4">
        <f>$B$1*0.4</f>
        <v>4464</v>
      </c>
      <c r="D4">
        <f>$B$1*0.4</f>
        <v>4464</v>
      </c>
      <c r="E4">
        <f>B1*0.2</f>
        <v>2232</v>
      </c>
    </row>
    <row r="6" spans="1:12" x14ac:dyDescent="0.25">
      <c r="A6" s="114" t="s">
        <v>76</v>
      </c>
      <c r="B6" s="114"/>
    </row>
    <row r="7" spans="1:12" x14ac:dyDescent="0.25">
      <c r="A7" t="s">
        <v>106</v>
      </c>
      <c r="B7" s="43">
        <v>1000</v>
      </c>
      <c r="C7" t="s">
        <v>224</v>
      </c>
      <c r="H7" t="s">
        <v>220</v>
      </c>
      <c r="I7" s="46">
        <f>33+590</f>
        <v>623</v>
      </c>
      <c r="J7">
        <f>I7+I11</f>
        <v>753</v>
      </c>
      <c r="L7" t="s">
        <v>222</v>
      </c>
    </row>
    <row r="8" spans="1:12" x14ac:dyDescent="0.25">
      <c r="A8" t="s">
        <v>211</v>
      </c>
      <c r="B8">
        <v>1000</v>
      </c>
      <c r="C8" s="83">
        <v>500</v>
      </c>
    </row>
    <row r="9" spans="1:12" x14ac:dyDescent="0.25">
      <c r="A9" t="s">
        <v>219</v>
      </c>
      <c r="B9">
        <v>2500</v>
      </c>
      <c r="C9" t="s">
        <v>232</v>
      </c>
    </row>
    <row r="10" spans="1:12" x14ac:dyDescent="0.25">
      <c r="A10" t="s">
        <v>216</v>
      </c>
      <c r="B10">
        <v>1000</v>
      </c>
      <c r="C10" s="83">
        <v>500</v>
      </c>
      <c r="L10" t="s">
        <v>223</v>
      </c>
    </row>
    <row r="11" spans="1:12" x14ac:dyDescent="0.25">
      <c r="A11" t="s">
        <v>212</v>
      </c>
      <c r="B11" s="43">
        <f>2291/2</f>
        <v>1145.5</v>
      </c>
      <c r="C11" t="s">
        <v>218</v>
      </c>
      <c r="H11" t="s">
        <v>221</v>
      </c>
      <c r="I11">
        <v>130</v>
      </c>
    </row>
    <row r="12" spans="1:12" x14ac:dyDescent="0.25">
      <c r="A12" t="s">
        <v>213</v>
      </c>
      <c r="B12" s="43">
        <f>15+369+200</f>
        <v>584</v>
      </c>
      <c r="C12" t="s">
        <v>217</v>
      </c>
    </row>
    <row r="13" spans="1:12" x14ac:dyDescent="0.25">
      <c r="A13" t="s">
        <v>123</v>
      </c>
      <c r="B13">
        <v>500</v>
      </c>
      <c r="C13" t="s">
        <v>233</v>
      </c>
    </row>
    <row r="14" spans="1:12" x14ac:dyDescent="0.25">
      <c r="A14" t="s">
        <v>111</v>
      </c>
      <c r="B14" s="43">
        <v>1750</v>
      </c>
    </row>
    <row r="16" spans="1:12" x14ac:dyDescent="0.25">
      <c r="A16" s="81" t="s">
        <v>225</v>
      </c>
      <c r="B16" s="81">
        <f>SUM(B7:B13)</f>
        <v>7729.5</v>
      </c>
      <c r="C16" s="82" t="s">
        <v>226</v>
      </c>
      <c r="D16" s="82">
        <f>D2-B16</f>
        <v>3700.3099999999995</v>
      </c>
    </row>
    <row r="17" spans="3:8" x14ac:dyDescent="0.25">
      <c r="H17" t="s">
        <v>228</v>
      </c>
    </row>
    <row r="18" spans="3:8" x14ac:dyDescent="0.25">
      <c r="C18" t="s">
        <v>227</v>
      </c>
      <c r="D18">
        <f>D16-E4</f>
        <v>1468.3099999999995</v>
      </c>
      <c r="H18" t="s">
        <v>229</v>
      </c>
    </row>
    <row r="19" spans="3:8" x14ac:dyDescent="0.25">
      <c r="H19" t="s">
        <v>230</v>
      </c>
    </row>
    <row r="20" spans="3:8" x14ac:dyDescent="0.25">
      <c r="H20" t="s">
        <v>231</v>
      </c>
    </row>
  </sheetData>
  <mergeCells count="1">
    <mergeCell ref="A6:B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544B3-58C8-485F-AE51-18A7927854ED}">
  <dimension ref="A1:I17"/>
  <sheetViews>
    <sheetView workbookViewId="0">
      <selection activeCell="G20" sqref="G20"/>
    </sheetView>
  </sheetViews>
  <sheetFormatPr baseColWidth="10" defaultRowHeight="12.5" x14ac:dyDescent="0.25"/>
  <cols>
    <col min="1" max="1" width="18.1796875" bestFit="1" customWidth="1"/>
  </cols>
  <sheetData>
    <row r="1" spans="1:9" x14ac:dyDescent="0.25">
      <c r="A1" t="s">
        <v>200</v>
      </c>
      <c r="B1">
        <v>11869</v>
      </c>
    </row>
    <row r="2" spans="1:9" x14ac:dyDescent="0.25">
      <c r="A2" t="s">
        <v>234</v>
      </c>
      <c r="B2">
        <v>0</v>
      </c>
    </row>
    <row r="3" spans="1:9" x14ac:dyDescent="0.25">
      <c r="A3" t="s">
        <v>235</v>
      </c>
      <c r="B3">
        <v>809</v>
      </c>
    </row>
    <row r="4" spans="1:9" x14ac:dyDescent="0.25">
      <c r="B4">
        <f>B1+B3</f>
        <v>12678</v>
      </c>
    </row>
    <row r="6" spans="1:9" x14ac:dyDescent="0.25">
      <c r="A6" s="114" t="s">
        <v>236</v>
      </c>
      <c r="B6" s="114"/>
      <c r="C6" t="s">
        <v>240</v>
      </c>
      <c r="D6" t="s">
        <v>241</v>
      </c>
    </row>
    <row r="7" spans="1:9" x14ac:dyDescent="0.25">
      <c r="A7" t="s">
        <v>211</v>
      </c>
      <c r="B7">
        <v>900</v>
      </c>
      <c r="C7">
        <v>400</v>
      </c>
      <c r="D7">
        <v>500</v>
      </c>
      <c r="F7" t="s">
        <v>186</v>
      </c>
    </row>
    <row r="8" spans="1:9" x14ac:dyDescent="0.25">
      <c r="A8" t="s">
        <v>219</v>
      </c>
      <c r="B8">
        <v>3000</v>
      </c>
      <c r="C8">
        <v>1500</v>
      </c>
      <c r="D8">
        <v>1500</v>
      </c>
      <c r="F8" s="87" t="s">
        <v>138</v>
      </c>
      <c r="G8" s="87">
        <v>5058.12</v>
      </c>
    </row>
    <row r="9" spans="1:9" x14ac:dyDescent="0.25">
      <c r="A9" t="s">
        <v>216</v>
      </c>
      <c r="B9">
        <v>1000</v>
      </c>
      <c r="C9">
        <f>(B9/2)-313</f>
        <v>187</v>
      </c>
      <c r="D9">
        <v>500</v>
      </c>
      <c r="F9" s="87" t="s">
        <v>245</v>
      </c>
      <c r="G9" s="87">
        <v>2649.84</v>
      </c>
    </row>
    <row r="10" spans="1:9" x14ac:dyDescent="0.25">
      <c r="A10" t="s">
        <v>123</v>
      </c>
      <c r="B10">
        <v>0</v>
      </c>
      <c r="F10" s="87" t="s">
        <v>246</v>
      </c>
      <c r="G10" s="87">
        <v>429.92</v>
      </c>
      <c r="H10" s="61" t="s">
        <v>248</v>
      </c>
    </row>
    <row r="11" spans="1:9" x14ac:dyDescent="0.25">
      <c r="A11" t="s">
        <v>237</v>
      </c>
      <c r="B11">
        <f>H11</f>
        <v>989.17999999999984</v>
      </c>
      <c r="D11">
        <f>SUM(D7:D9)</f>
        <v>2500</v>
      </c>
      <c r="F11" s="87" t="s">
        <v>247</v>
      </c>
      <c r="G11" s="87">
        <f>G8-G9-G10</f>
        <v>1978.3599999999997</v>
      </c>
      <c r="H11">
        <f>G11/2</f>
        <v>989.17999999999984</v>
      </c>
    </row>
    <row r="12" spans="1:9" x14ac:dyDescent="0.25">
      <c r="A12" t="s">
        <v>212</v>
      </c>
      <c r="B12" s="43">
        <v>2798.26</v>
      </c>
      <c r="I12">
        <f>5058.12-429.92</f>
        <v>4628.2</v>
      </c>
    </row>
    <row r="13" spans="1:9" x14ac:dyDescent="0.25">
      <c r="A13" t="s">
        <v>111</v>
      </c>
      <c r="B13" s="43">
        <v>1750</v>
      </c>
    </row>
    <row r="14" spans="1:9" x14ac:dyDescent="0.25">
      <c r="A14" t="s">
        <v>239</v>
      </c>
      <c r="B14">
        <v>500</v>
      </c>
      <c r="E14">
        <f>5229.99-D11</f>
        <v>2729.99</v>
      </c>
      <c r="F14">
        <f>E14-B11</f>
        <v>1740.81</v>
      </c>
    </row>
    <row r="15" spans="1:9" x14ac:dyDescent="0.25">
      <c r="A15" s="81" t="s">
        <v>225</v>
      </c>
      <c r="B15" s="81">
        <f>SUM(B7:B14)</f>
        <v>10937.44</v>
      </c>
    </row>
    <row r="17" spans="2:4" x14ac:dyDescent="0.25">
      <c r="B17" s="86">
        <f>B4-B15</f>
        <v>1740.5599999999995</v>
      </c>
      <c r="C17" s="86"/>
      <c r="D17" s="86" t="s">
        <v>238</v>
      </c>
    </row>
  </sheetData>
  <mergeCells count="1">
    <mergeCell ref="A6:B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69F402-31F7-4613-B4C9-01706D41F7DC}">
  <dimension ref="A1:K17"/>
  <sheetViews>
    <sheetView workbookViewId="0">
      <selection activeCell="H1" sqref="H1:I2"/>
    </sheetView>
  </sheetViews>
  <sheetFormatPr baseColWidth="10" defaultRowHeight="12.5" x14ac:dyDescent="0.25"/>
  <cols>
    <col min="1" max="1" width="18.1796875" bestFit="1" customWidth="1"/>
    <col min="8" max="8" width="18.1796875" bestFit="1" customWidth="1"/>
  </cols>
  <sheetData>
    <row r="1" spans="1:9" x14ac:dyDescent="0.25">
      <c r="A1" t="s">
        <v>200</v>
      </c>
      <c r="B1">
        <v>11700</v>
      </c>
      <c r="H1" t="s">
        <v>200</v>
      </c>
      <c r="I1">
        <v>11869</v>
      </c>
    </row>
    <row r="2" spans="1:9" x14ac:dyDescent="0.25">
      <c r="A2" t="s">
        <v>235</v>
      </c>
      <c r="B2">
        <v>0</v>
      </c>
      <c r="H2" t="s">
        <v>235</v>
      </c>
      <c r="I2">
        <v>1674.3700000000008</v>
      </c>
    </row>
    <row r="4" spans="1:9" x14ac:dyDescent="0.25">
      <c r="B4">
        <f>B1+B2</f>
        <v>11700</v>
      </c>
      <c r="I4">
        <f>I1+I2</f>
        <v>13543.37</v>
      </c>
    </row>
    <row r="6" spans="1:9" x14ac:dyDescent="0.25">
      <c r="A6" s="114" t="s">
        <v>242</v>
      </c>
      <c r="B6" s="114"/>
      <c r="H6" s="115" t="s">
        <v>243</v>
      </c>
      <c r="I6" s="115"/>
    </row>
    <row r="7" spans="1:9" x14ac:dyDescent="0.25">
      <c r="A7" t="s">
        <v>211</v>
      </c>
      <c r="B7">
        <v>900</v>
      </c>
      <c r="C7">
        <f>B7/2</f>
        <v>450</v>
      </c>
      <c r="D7" s="61" t="s">
        <v>249</v>
      </c>
      <c r="E7">
        <v>5960.78</v>
      </c>
      <c r="H7" t="s">
        <v>211</v>
      </c>
      <c r="I7">
        <v>900</v>
      </c>
    </row>
    <row r="8" spans="1:9" x14ac:dyDescent="0.25">
      <c r="A8" t="s">
        <v>219</v>
      </c>
      <c r="B8">
        <v>3700</v>
      </c>
      <c r="C8">
        <f t="shared" ref="C8:C9" si="0">B8/2</f>
        <v>1850</v>
      </c>
      <c r="H8" t="s">
        <v>219</v>
      </c>
      <c r="I8">
        <v>4000</v>
      </c>
    </row>
    <row r="9" spans="1:9" x14ac:dyDescent="0.25">
      <c r="A9" t="s">
        <v>216</v>
      </c>
      <c r="B9">
        <v>1000</v>
      </c>
      <c r="C9">
        <f t="shared" si="0"/>
        <v>500</v>
      </c>
      <c r="D9" t="s">
        <v>274</v>
      </c>
      <c r="H9" t="s">
        <v>216</v>
      </c>
      <c r="I9">
        <v>1000</v>
      </c>
    </row>
    <row r="10" spans="1:9" x14ac:dyDescent="0.25">
      <c r="A10" t="s">
        <v>212</v>
      </c>
      <c r="B10">
        <v>0</v>
      </c>
      <c r="D10">
        <f>B7+B8+B9+B14</f>
        <v>7600</v>
      </c>
      <c r="H10" t="s">
        <v>212</v>
      </c>
      <c r="I10">
        <v>0</v>
      </c>
    </row>
    <row r="11" spans="1:9" x14ac:dyDescent="0.25">
      <c r="A11" t="s">
        <v>237</v>
      </c>
      <c r="B11">
        <f>'Q2-Feb'!H11</f>
        <v>989.17999999999984</v>
      </c>
      <c r="E11">
        <f>'Q2-Feb'!B17+B17</f>
        <v>2601.3799999999992</v>
      </c>
      <c r="H11" t="s">
        <v>237</v>
      </c>
      <c r="I11">
        <v>0</v>
      </c>
    </row>
    <row r="12" spans="1:9" x14ac:dyDescent="0.25">
      <c r="A12" t="s">
        <v>123</v>
      </c>
      <c r="B12">
        <v>500</v>
      </c>
      <c r="D12" t="s">
        <v>276</v>
      </c>
      <c r="H12" t="s">
        <v>123</v>
      </c>
      <c r="I12">
        <v>500</v>
      </c>
    </row>
    <row r="13" spans="1:9" x14ac:dyDescent="0.25">
      <c r="A13" t="s">
        <v>111</v>
      </c>
      <c r="B13">
        <v>1750</v>
      </c>
      <c r="H13" t="s">
        <v>111</v>
      </c>
      <c r="I13">
        <v>1750</v>
      </c>
    </row>
    <row r="14" spans="1:9" x14ac:dyDescent="0.25">
      <c r="A14" t="s">
        <v>275</v>
      </c>
      <c r="B14">
        <v>2000</v>
      </c>
    </row>
    <row r="15" spans="1:9" x14ac:dyDescent="0.25">
      <c r="A15" s="81" t="s">
        <v>225</v>
      </c>
      <c r="B15" s="81">
        <f>SUM(B7:B14)</f>
        <v>10839.18</v>
      </c>
      <c r="H15" s="81" t="s">
        <v>225</v>
      </c>
      <c r="I15" s="81">
        <f>SUM(I7:I14)</f>
        <v>8150</v>
      </c>
    </row>
    <row r="17" spans="2:11" ht="13" x14ac:dyDescent="0.3">
      <c r="B17">
        <f>B4-B15</f>
        <v>860.81999999999971</v>
      </c>
      <c r="H17" s="88" t="s">
        <v>244</v>
      </c>
      <c r="I17" s="88">
        <f>I4-I15</f>
        <v>5393.3700000000008</v>
      </c>
      <c r="K17" s="61" t="s">
        <v>250</v>
      </c>
    </row>
  </sheetData>
  <mergeCells count="2">
    <mergeCell ref="A6:B6"/>
    <mergeCell ref="H6:I6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20296-AEC7-4C99-AEFF-8920313FF600}">
  <dimension ref="A1:H16"/>
  <sheetViews>
    <sheetView workbookViewId="0">
      <selection sqref="A1:B16"/>
    </sheetView>
  </sheetViews>
  <sheetFormatPr baseColWidth="10" defaultRowHeight="12.5" x14ac:dyDescent="0.25"/>
  <cols>
    <col min="1" max="1" width="18.1796875" bestFit="1" customWidth="1"/>
  </cols>
  <sheetData>
    <row r="1" spans="1:8" x14ac:dyDescent="0.25">
      <c r="A1" t="s">
        <v>200</v>
      </c>
      <c r="B1">
        <v>11786.78</v>
      </c>
    </row>
    <row r="2" spans="1:8" x14ac:dyDescent="0.25">
      <c r="A2" t="s">
        <v>235</v>
      </c>
      <c r="B2">
        <v>3500</v>
      </c>
    </row>
    <row r="4" spans="1:8" x14ac:dyDescent="0.25">
      <c r="A4" s="115" t="s">
        <v>243</v>
      </c>
      <c r="B4" s="115"/>
      <c r="D4" t="s">
        <v>278</v>
      </c>
    </row>
    <row r="5" spans="1:8" x14ac:dyDescent="0.25">
      <c r="A5" t="s">
        <v>211</v>
      </c>
      <c r="B5">
        <v>1000</v>
      </c>
      <c r="C5">
        <f>B5+D6+B7+E6</f>
        <v>4800</v>
      </c>
    </row>
    <row r="6" spans="1:8" x14ac:dyDescent="0.25">
      <c r="A6" t="s">
        <v>219</v>
      </c>
      <c r="B6">
        <v>4000</v>
      </c>
      <c r="D6">
        <v>800</v>
      </c>
      <c r="E6">
        <v>2000</v>
      </c>
    </row>
    <row r="7" spans="1:8" x14ac:dyDescent="0.25">
      <c r="A7" t="s">
        <v>216</v>
      </c>
      <c r="B7">
        <v>1000</v>
      </c>
    </row>
    <row r="8" spans="1:8" x14ac:dyDescent="0.25">
      <c r="A8" t="s">
        <v>212</v>
      </c>
      <c r="B8" s="43">
        <v>3000</v>
      </c>
    </row>
    <row r="9" spans="1:8" x14ac:dyDescent="0.25">
      <c r="A9" t="s">
        <v>237</v>
      </c>
      <c r="B9" s="43">
        <v>1000</v>
      </c>
    </row>
    <row r="10" spans="1:8" x14ac:dyDescent="0.25">
      <c r="A10" t="s">
        <v>123</v>
      </c>
      <c r="B10">
        <v>1000</v>
      </c>
    </row>
    <row r="11" spans="1:8" x14ac:dyDescent="0.25">
      <c r="A11" t="s">
        <v>111</v>
      </c>
      <c r="B11" s="43">
        <v>1750</v>
      </c>
      <c r="H11">
        <f>9204-F13</f>
        <v>7204</v>
      </c>
    </row>
    <row r="12" spans="1:8" x14ac:dyDescent="0.25">
      <c r="A12" t="s">
        <v>277</v>
      </c>
      <c r="B12" s="43">
        <v>500</v>
      </c>
      <c r="E12">
        <v>6000</v>
      </c>
      <c r="F12">
        <f>5058-2649</f>
        <v>2409</v>
      </c>
    </row>
    <row r="13" spans="1:8" x14ac:dyDescent="0.25">
      <c r="F13">
        <v>2000</v>
      </c>
    </row>
    <row r="14" spans="1:8" x14ac:dyDescent="0.25">
      <c r="A14" t="s">
        <v>279</v>
      </c>
      <c r="B14">
        <f>SUM(B5:B12)</f>
        <v>13250</v>
      </c>
    </row>
    <row r="15" spans="1:8" x14ac:dyDescent="0.25">
      <c r="F15">
        <f>E12-F12-F13</f>
        <v>1591</v>
      </c>
    </row>
    <row r="16" spans="1:8" x14ac:dyDescent="0.25">
      <c r="B16">
        <f>B1+B2-B14</f>
        <v>2036.7800000000007</v>
      </c>
    </row>
  </sheetData>
  <mergeCells count="1">
    <mergeCell ref="A4:B4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3F7883-25DD-4635-8158-9BBCD4453641}">
  <dimension ref="A1:E20"/>
  <sheetViews>
    <sheetView workbookViewId="0">
      <selection activeCell="E21" sqref="E21"/>
    </sheetView>
  </sheetViews>
  <sheetFormatPr baseColWidth="10" defaultRowHeight="12.5" x14ac:dyDescent="0.25"/>
  <cols>
    <col min="1" max="1" width="20.36328125" bestFit="1" customWidth="1"/>
    <col min="3" max="3" width="19.6328125" bestFit="1" customWidth="1"/>
  </cols>
  <sheetData>
    <row r="1" spans="1:5" x14ac:dyDescent="0.25">
      <c r="A1" t="s">
        <v>200</v>
      </c>
      <c r="B1">
        <v>11783.9</v>
      </c>
    </row>
    <row r="2" spans="1:5" x14ac:dyDescent="0.25">
      <c r="A2" t="s">
        <v>235</v>
      </c>
      <c r="B2">
        <v>2000</v>
      </c>
    </row>
    <row r="3" spans="1:5" x14ac:dyDescent="0.25">
      <c r="A3" t="s">
        <v>281</v>
      </c>
      <c r="B3">
        <v>312</v>
      </c>
    </row>
    <row r="4" spans="1:5" x14ac:dyDescent="0.25">
      <c r="A4" t="s">
        <v>282</v>
      </c>
      <c r="B4">
        <v>763</v>
      </c>
    </row>
    <row r="5" spans="1:5" x14ac:dyDescent="0.25">
      <c r="A5" s="115" t="s">
        <v>243</v>
      </c>
      <c r="B5" s="115"/>
    </row>
    <row r="6" spans="1:5" x14ac:dyDescent="0.25">
      <c r="A6" t="s">
        <v>211</v>
      </c>
      <c r="B6">
        <v>0</v>
      </c>
    </row>
    <row r="7" spans="1:5" x14ac:dyDescent="0.25">
      <c r="A7" s="89" t="s">
        <v>219</v>
      </c>
      <c r="B7" s="89">
        <v>3000</v>
      </c>
      <c r="C7" t="s">
        <v>284</v>
      </c>
      <c r="E7">
        <f>B7+B8+B10</f>
        <v>4300</v>
      </c>
    </row>
    <row r="8" spans="1:5" x14ac:dyDescent="0.25">
      <c r="A8" s="89" t="s">
        <v>216</v>
      </c>
      <c r="B8" s="89">
        <v>300</v>
      </c>
    </row>
    <row r="9" spans="1:5" x14ac:dyDescent="0.25">
      <c r="A9" t="s">
        <v>111</v>
      </c>
      <c r="B9">
        <v>1750</v>
      </c>
    </row>
    <row r="10" spans="1:5" x14ac:dyDescent="0.25">
      <c r="A10" s="89" t="s">
        <v>123</v>
      </c>
      <c r="B10" s="89">
        <v>1000</v>
      </c>
    </row>
    <row r="11" spans="1:5" x14ac:dyDescent="0.25">
      <c r="A11" t="s">
        <v>110</v>
      </c>
      <c r="B11">
        <f>299+1165</f>
        <v>1464</v>
      </c>
    </row>
    <row r="12" spans="1:5" x14ac:dyDescent="0.25">
      <c r="A12" t="s">
        <v>212</v>
      </c>
      <c r="B12">
        <v>500</v>
      </c>
    </row>
    <row r="13" spans="1:5" x14ac:dyDescent="0.25">
      <c r="A13" t="s">
        <v>237</v>
      </c>
      <c r="B13">
        <v>2500</v>
      </c>
    </row>
    <row r="15" spans="1:5" x14ac:dyDescent="0.25">
      <c r="A15" t="s">
        <v>280</v>
      </c>
      <c r="C15">
        <f>1610+23</f>
        <v>1633</v>
      </c>
      <c r="D15" t="s">
        <v>283</v>
      </c>
    </row>
    <row r="18" spans="1:2" x14ac:dyDescent="0.25">
      <c r="A18" t="s">
        <v>279</v>
      </c>
      <c r="B18">
        <f>SUM(B6:B16)</f>
        <v>10514</v>
      </c>
    </row>
    <row r="20" spans="1:2" x14ac:dyDescent="0.25">
      <c r="A20" t="s">
        <v>285</v>
      </c>
      <c r="B20">
        <f>B1+B2+C15-B18</f>
        <v>4902.8999999999996</v>
      </c>
    </row>
  </sheetData>
  <mergeCells count="1">
    <mergeCell ref="A5:B5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B6A39-9C39-4127-8505-19614D37E2BE}">
  <dimension ref="A1:I20"/>
  <sheetViews>
    <sheetView workbookViewId="0">
      <selection activeCell="I28" sqref="I28"/>
    </sheetView>
  </sheetViews>
  <sheetFormatPr baseColWidth="10" defaultRowHeight="12.5" x14ac:dyDescent="0.25"/>
  <cols>
    <col min="1" max="1" width="20.36328125" bestFit="1" customWidth="1"/>
    <col min="3" max="3" width="19.6328125" bestFit="1" customWidth="1"/>
  </cols>
  <sheetData>
    <row r="1" spans="1:9" x14ac:dyDescent="0.25">
      <c r="A1" t="s">
        <v>200</v>
      </c>
      <c r="B1">
        <v>11850</v>
      </c>
    </row>
    <row r="2" spans="1:9" x14ac:dyDescent="0.25">
      <c r="A2" t="s">
        <v>235</v>
      </c>
      <c r="B2">
        <v>1116.5999999999999</v>
      </c>
    </row>
    <row r="3" spans="1:9" x14ac:dyDescent="0.25">
      <c r="A3" t="s">
        <v>282</v>
      </c>
      <c r="B3">
        <v>763</v>
      </c>
    </row>
    <row r="4" spans="1:9" x14ac:dyDescent="0.25">
      <c r="A4" t="s">
        <v>286</v>
      </c>
      <c r="B4">
        <v>2250</v>
      </c>
      <c r="C4">
        <v>3000</v>
      </c>
    </row>
    <row r="5" spans="1:9" x14ac:dyDescent="0.25">
      <c r="A5" s="115"/>
      <c r="B5" s="115"/>
    </row>
    <row r="6" spans="1:9" x14ac:dyDescent="0.25">
      <c r="A6" t="s">
        <v>211</v>
      </c>
      <c r="B6">
        <v>800</v>
      </c>
    </row>
    <row r="7" spans="1:9" x14ac:dyDescent="0.25">
      <c r="A7" s="89" t="s">
        <v>219</v>
      </c>
      <c r="B7" s="89">
        <v>4000</v>
      </c>
      <c r="E7">
        <f>B7+B8+B10</f>
        <v>5000</v>
      </c>
    </row>
    <row r="8" spans="1:9" x14ac:dyDescent="0.25">
      <c r="A8" s="89" t="s">
        <v>216</v>
      </c>
      <c r="B8" s="89">
        <v>0</v>
      </c>
    </row>
    <row r="9" spans="1:9" x14ac:dyDescent="0.25">
      <c r="A9" s="90" t="s">
        <v>111</v>
      </c>
      <c r="B9" s="90">
        <v>1750</v>
      </c>
      <c r="C9">
        <f>B9+B6+B7+B12</f>
        <v>7800</v>
      </c>
    </row>
    <row r="10" spans="1:9" x14ac:dyDescent="0.25">
      <c r="A10" s="89" t="s">
        <v>123</v>
      </c>
      <c r="B10" s="89">
        <v>1000</v>
      </c>
    </row>
    <row r="11" spans="1:9" x14ac:dyDescent="0.25">
      <c r="A11" s="90" t="s">
        <v>110</v>
      </c>
      <c r="B11" s="90">
        <v>486</v>
      </c>
    </row>
    <row r="12" spans="1:9" x14ac:dyDescent="0.25">
      <c r="A12" s="90" t="s">
        <v>212</v>
      </c>
      <c r="B12" s="90">
        <v>1250</v>
      </c>
    </row>
    <row r="13" spans="1:9" x14ac:dyDescent="0.25">
      <c r="A13" s="90" t="s">
        <v>237</v>
      </c>
      <c r="B13" s="90">
        <v>0</v>
      </c>
    </row>
    <row r="14" spans="1:9" x14ac:dyDescent="0.25">
      <c r="A14" t="s">
        <v>106</v>
      </c>
      <c r="B14">
        <v>1000</v>
      </c>
    </row>
    <row r="16" spans="1:9" x14ac:dyDescent="0.25">
      <c r="I16">
        <f>827*2</f>
        <v>1654</v>
      </c>
    </row>
    <row r="18" spans="1:2" x14ac:dyDescent="0.25">
      <c r="A18" t="s">
        <v>279</v>
      </c>
      <c r="B18">
        <f>SUM(B6:B16)</f>
        <v>10286</v>
      </c>
    </row>
    <row r="20" spans="1:2" x14ac:dyDescent="0.25">
      <c r="A20" t="s">
        <v>285</v>
      </c>
      <c r="B20">
        <f>B1+B2-B18</f>
        <v>2680.6000000000004</v>
      </c>
    </row>
  </sheetData>
  <mergeCells count="1">
    <mergeCell ref="A5:B5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72FDFC-0214-4413-B781-8F95F92640F9}">
  <dimension ref="A1:D20"/>
  <sheetViews>
    <sheetView workbookViewId="0">
      <selection sqref="A1:B20"/>
    </sheetView>
  </sheetViews>
  <sheetFormatPr baseColWidth="10" defaultRowHeight="12.5" x14ac:dyDescent="0.25"/>
  <cols>
    <col min="1" max="1" width="20.36328125" bestFit="1" customWidth="1"/>
  </cols>
  <sheetData>
    <row r="1" spans="1:4" x14ac:dyDescent="0.25">
      <c r="A1" t="s">
        <v>200</v>
      </c>
      <c r="B1">
        <v>11850</v>
      </c>
    </row>
    <row r="2" spans="1:4" x14ac:dyDescent="0.25">
      <c r="A2" t="s">
        <v>235</v>
      </c>
      <c r="B2">
        <v>0</v>
      </c>
    </row>
    <row r="5" spans="1:4" x14ac:dyDescent="0.25">
      <c r="A5" s="115"/>
      <c r="B5" s="115"/>
    </row>
    <row r="6" spans="1:4" x14ac:dyDescent="0.25">
      <c r="A6" s="89" t="s">
        <v>219</v>
      </c>
      <c r="B6" s="89">
        <v>4051.29</v>
      </c>
    </row>
    <row r="7" spans="1:4" x14ac:dyDescent="0.25">
      <c r="A7" s="90" t="s">
        <v>111</v>
      </c>
      <c r="B7" s="90">
        <v>1750</v>
      </c>
    </row>
    <row r="8" spans="1:4" x14ac:dyDescent="0.25">
      <c r="A8" s="89" t="s">
        <v>123</v>
      </c>
      <c r="B8" s="89">
        <v>1000</v>
      </c>
    </row>
    <row r="9" spans="1:4" x14ac:dyDescent="0.25">
      <c r="A9" s="61" t="s">
        <v>106</v>
      </c>
      <c r="B9">
        <v>1500</v>
      </c>
      <c r="D9" s="61" t="s">
        <v>293</v>
      </c>
    </row>
    <row r="10" spans="1:4" x14ac:dyDescent="0.25">
      <c r="A10" s="61" t="s">
        <v>291</v>
      </c>
      <c r="B10">
        <v>1000</v>
      </c>
    </row>
    <row r="11" spans="1:4" x14ac:dyDescent="0.25">
      <c r="A11" s="61" t="s">
        <v>292</v>
      </c>
      <c r="B11">
        <v>1000</v>
      </c>
    </row>
    <row r="12" spans="1:4" x14ac:dyDescent="0.25">
      <c r="A12" s="43" t="s">
        <v>212</v>
      </c>
      <c r="B12" s="43"/>
      <c r="D12" s="61" t="s">
        <v>294</v>
      </c>
    </row>
    <row r="13" spans="1:4" x14ac:dyDescent="0.25">
      <c r="A13" s="43" t="s">
        <v>237</v>
      </c>
      <c r="B13" s="43"/>
    </row>
    <row r="14" spans="1:4" x14ac:dyDescent="0.25">
      <c r="A14" s="43" t="s">
        <v>110</v>
      </c>
      <c r="B14" s="43"/>
    </row>
    <row r="18" spans="1:4" x14ac:dyDescent="0.25">
      <c r="A18" t="s">
        <v>279</v>
      </c>
      <c r="B18">
        <f>SUM(B6:B11)</f>
        <v>10301.290000000001</v>
      </c>
    </row>
    <row r="20" spans="1:4" x14ac:dyDescent="0.25">
      <c r="A20" s="43" t="s">
        <v>285</v>
      </c>
      <c r="B20" s="43">
        <f>B1+B2-B18</f>
        <v>1548.7099999999991</v>
      </c>
      <c r="C20" s="43"/>
      <c r="D20" s="91" t="s">
        <v>295</v>
      </c>
    </row>
  </sheetData>
  <mergeCells count="1">
    <mergeCell ref="A5:B5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D281F5-79DF-4A5E-9026-8A935445E777}">
  <dimension ref="A1:G20"/>
  <sheetViews>
    <sheetView workbookViewId="0">
      <selection sqref="A1:B20"/>
    </sheetView>
  </sheetViews>
  <sheetFormatPr baseColWidth="10" defaultRowHeight="12.5" x14ac:dyDescent="0.25"/>
  <cols>
    <col min="1" max="1" width="18.1796875" bestFit="1" customWidth="1"/>
  </cols>
  <sheetData>
    <row r="1" spans="1:7" x14ac:dyDescent="0.25">
      <c r="A1" t="s">
        <v>200</v>
      </c>
      <c r="B1">
        <v>11850</v>
      </c>
    </row>
    <row r="2" spans="1:7" x14ac:dyDescent="0.25">
      <c r="A2" t="s">
        <v>235</v>
      </c>
      <c r="B2">
        <v>0</v>
      </c>
    </row>
    <row r="5" spans="1:7" x14ac:dyDescent="0.25">
      <c r="A5" s="115"/>
      <c r="B5" s="115"/>
    </row>
    <row r="6" spans="1:7" x14ac:dyDescent="0.25">
      <c r="A6" s="89" t="s">
        <v>219</v>
      </c>
      <c r="B6" s="89">
        <v>4000</v>
      </c>
    </row>
    <row r="7" spans="1:7" x14ac:dyDescent="0.25">
      <c r="A7" s="90" t="s">
        <v>111</v>
      </c>
      <c r="B7" s="90">
        <v>1750</v>
      </c>
    </row>
    <row r="8" spans="1:7" x14ac:dyDescent="0.25">
      <c r="A8" s="89" t="s">
        <v>123</v>
      </c>
      <c r="B8" s="89">
        <v>1000</v>
      </c>
    </row>
    <row r="9" spans="1:7" x14ac:dyDescent="0.25">
      <c r="A9" s="61" t="s">
        <v>106</v>
      </c>
      <c r="B9">
        <v>0</v>
      </c>
    </row>
    <row r="10" spans="1:7" x14ac:dyDescent="0.25">
      <c r="A10" s="61"/>
    </row>
    <row r="11" spans="1:7" x14ac:dyDescent="0.25">
      <c r="A11" s="61" t="s">
        <v>292</v>
      </c>
      <c r="B11">
        <v>0</v>
      </c>
    </row>
    <row r="12" spans="1:7" x14ac:dyDescent="0.25">
      <c r="A12" s="43" t="s">
        <v>212</v>
      </c>
      <c r="B12" s="43"/>
      <c r="G12">
        <f>4*14</f>
        <v>56</v>
      </c>
    </row>
    <row r="13" spans="1:7" x14ac:dyDescent="0.25">
      <c r="A13" s="43" t="s">
        <v>237</v>
      </c>
      <c r="B13" s="43"/>
    </row>
    <row r="14" spans="1:7" x14ac:dyDescent="0.25">
      <c r="A14" s="43" t="s">
        <v>110</v>
      </c>
      <c r="B14" s="43"/>
    </row>
    <row r="18" spans="1:2" x14ac:dyDescent="0.25">
      <c r="A18" t="s">
        <v>279</v>
      </c>
      <c r="B18">
        <f>SUM(B6:B11)</f>
        <v>6750</v>
      </c>
    </row>
    <row r="20" spans="1:2" x14ac:dyDescent="0.25">
      <c r="A20" s="43" t="s">
        <v>285</v>
      </c>
      <c r="B20" s="43">
        <f>B1+B2-B18</f>
        <v>5100</v>
      </c>
    </row>
  </sheetData>
  <mergeCells count="1">
    <mergeCell ref="A5:B5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72BD4C-741B-4C99-A7A8-AC177A4C71A6}">
  <dimension ref="A1:F20"/>
  <sheetViews>
    <sheetView workbookViewId="0">
      <selection activeCell="B7" sqref="B7"/>
    </sheetView>
  </sheetViews>
  <sheetFormatPr baseColWidth="10" defaultRowHeight="12.5" x14ac:dyDescent="0.25"/>
  <cols>
    <col min="1" max="1" width="18.1796875" bestFit="1" customWidth="1"/>
  </cols>
  <sheetData>
    <row r="1" spans="1:6" x14ac:dyDescent="0.25">
      <c r="A1" t="s">
        <v>200</v>
      </c>
      <c r="B1">
        <v>11809</v>
      </c>
    </row>
    <row r="2" spans="1:6" x14ac:dyDescent="0.25">
      <c r="A2" t="s">
        <v>235</v>
      </c>
      <c r="B2">
        <v>0</v>
      </c>
    </row>
    <row r="5" spans="1:6" x14ac:dyDescent="0.25">
      <c r="A5" s="115"/>
      <c r="B5" s="115"/>
    </row>
    <row r="6" spans="1:6" x14ac:dyDescent="0.25">
      <c r="A6" s="89" t="s">
        <v>219</v>
      </c>
      <c r="B6" s="89">
        <v>4000</v>
      </c>
    </row>
    <row r="7" spans="1:6" x14ac:dyDescent="0.25">
      <c r="A7" s="90" t="s">
        <v>111</v>
      </c>
      <c r="B7" s="90">
        <v>1750</v>
      </c>
    </row>
    <row r="8" spans="1:6" x14ac:dyDescent="0.25">
      <c r="A8" s="89" t="s">
        <v>123</v>
      </c>
      <c r="B8" s="89">
        <v>1200</v>
      </c>
      <c r="E8" t="s">
        <v>110</v>
      </c>
    </row>
    <row r="9" spans="1:6" x14ac:dyDescent="0.25">
      <c r="A9" s="61" t="s">
        <v>106</v>
      </c>
      <c r="B9">
        <v>0</v>
      </c>
      <c r="E9" t="s">
        <v>296</v>
      </c>
      <c r="F9">
        <v>325</v>
      </c>
    </row>
    <row r="10" spans="1:6" x14ac:dyDescent="0.25">
      <c r="A10" s="61"/>
      <c r="E10" t="s">
        <v>120</v>
      </c>
      <c r="F10">
        <v>140</v>
      </c>
    </row>
    <row r="11" spans="1:6" x14ac:dyDescent="0.25">
      <c r="A11" s="61" t="s">
        <v>292</v>
      </c>
      <c r="B11">
        <v>1000</v>
      </c>
      <c r="E11" t="s">
        <v>170</v>
      </c>
      <c r="F11">
        <f>1265/2</f>
        <v>632.5</v>
      </c>
    </row>
    <row r="12" spans="1:6" x14ac:dyDescent="0.25">
      <c r="A12" t="s">
        <v>212</v>
      </c>
      <c r="B12">
        <v>0</v>
      </c>
    </row>
    <row r="13" spans="1:6" x14ac:dyDescent="0.25">
      <c r="A13" t="s">
        <v>237</v>
      </c>
      <c r="B13">
        <v>0</v>
      </c>
    </row>
    <row r="14" spans="1:6" x14ac:dyDescent="0.25">
      <c r="A14" t="s">
        <v>110</v>
      </c>
      <c r="B14">
        <v>0</v>
      </c>
    </row>
    <row r="18" spans="1:2" x14ac:dyDescent="0.25">
      <c r="A18" t="s">
        <v>279</v>
      </c>
      <c r="B18">
        <f>SUM(B6:B14)</f>
        <v>7950</v>
      </c>
    </row>
    <row r="20" spans="1:2" x14ac:dyDescent="0.25">
      <c r="A20" t="s">
        <v>285</v>
      </c>
      <c r="B20">
        <f>B1+B2-B18</f>
        <v>3859</v>
      </c>
    </row>
  </sheetData>
  <mergeCells count="1">
    <mergeCell ref="A5:B5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558160-E6B3-4AD7-8CE4-3904A3B5725A}">
  <dimension ref="A1:M22"/>
  <sheetViews>
    <sheetView zoomScale="98" workbookViewId="0">
      <selection activeCell="E5" sqref="E5:G18"/>
    </sheetView>
  </sheetViews>
  <sheetFormatPr baseColWidth="10" defaultRowHeight="12.5" x14ac:dyDescent="0.25"/>
  <cols>
    <col min="1" max="1" width="18.1796875" bestFit="1" customWidth="1"/>
    <col min="3" max="3" width="16.08984375" bestFit="1" customWidth="1"/>
    <col min="7" max="7" width="22.08984375" bestFit="1" customWidth="1"/>
  </cols>
  <sheetData>
    <row r="1" spans="1:13" x14ac:dyDescent="0.25">
      <c r="A1" t="s">
        <v>200</v>
      </c>
      <c r="B1">
        <v>12180</v>
      </c>
    </row>
    <row r="2" spans="1:13" x14ac:dyDescent="0.25">
      <c r="A2" t="s">
        <v>235</v>
      </c>
      <c r="B2">
        <v>0</v>
      </c>
    </row>
    <row r="5" spans="1:13" x14ac:dyDescent="0.25">
      <c r="A5" s="115"/>
      <c r="B5" s="115"/>
      <c r="C5" t="s">
        <v>315</v>
      </c>
      <c r="E5" t="s">
        <v>317</v>
      </c>
    </row>
    <row r="6" spans="1:13" x14ac:dyDescent="0.25">
      <c r="A6" s="89" t="s">
        <v>219</v>
      </c>
      <c r="B6" s="89">
        <v>4000</v>
      </c>
      <c r="C6">
        <v>2000</v>
      </c>
      <c r="E6">
        <v>1100</v>
      </c>
      <c r="F6">
        <v>900</v>
      </c>
      <c r="G6" t="s">
        <v>318</v>
      </c>
    </row>
    <row r="7" spans="1:13" x14ac:dyDescent="0.25">
      <c r="A7" s="90" t="s">
        <v>111</v>
      </c>
      <c r="B7" s="90">
        <v>1750</v>
      </c>
      <c r="C7" s="90">
        <v>1750</v>
      </c>
      <c r="E7">
        <v>0</v>
      </c>
    </row>
    <row r="8" spans="1:13" x14ac:dyDescent="0.25">
      <c r="A8" s="89" t="s">
        <v>123</v>
      </c>
      <c r="B8" s="89">
        <v>700</v>
      </c>
      <c r="C8">
        <v>500</v>
      </c>
      <c r="E8">
        <v>0</v>
      </c>
    </row>
    <row r="9" spans="1:13" x14ac:dyDescent="0.25">
      <c r="A9" s="61" t="s">
        <v>292</v>
      </c>
      <c r="B9">
        <v>2000</v>
      </c>
      <c r="C9">
        <v>896</v>
      </c>
      <c r="D9" t="s">
        <v>316</v>
      </c>
      <c r="E9">
        <v>1500</v>
      </c>
      <c r="G9" t="s">
        <v>320</v>
      </c>
      <c r="K9" t="s">
        <v>313</v>
      </c>
    </row>
    <row r="10" spans="1:13" x14ac:dyDescent="0.25">
      <c r="A10" s="61" t="s">
        <v>160</v>
      </c>
      <c r="B10" s="90">
        <v>450</v>
      </c>
      <c r="C10" s="90">
        <v>450</v>
      </c>
      <c r="E10">
        <v>0</v>
      </c>
      <c r="K10">
        <v>2200</v>
      </c>
      <c r="M10">
        <v>1000</v>
      </c>
    </row>
    <row r="11" spans="1:13" x14ac:dyDescent="0.25">
      <c r="A11" t="s">
        <v>310</v>
      </c>
      <c r="B11">
        <v>0</v>
      </c>
      <c r="E11">
        <v>0</v>
      </c>
      <c r="K11">
        <v>350</v>
      </c>
      <c r="M11">
        <v>500</v>
      </c>
    </row>
    <row r="12" spans="1:13" x14ac:dyDescent="0.25">
      <c r="A12" t="s">
        <v>212</v>
      </c>
      <c r="B12">
        <v>0</v>
      </c>
      <c r="E12">
        <v>0</v>
      </c>
      <c r="K12">
        <v>1800</v>
      </c>
      <c r="M12">
        <v>900</v>
      </c>
    </row>
    <row r="13" spans="1:13" x14ac:dyDescent="0.25">
      <c r="A13" t="s">
        <v>237</v>
      </c>
      <c r="B13">
        <v>0</v>
      </c>
      <c r="E13">
        <v>0</v>
      </c>
      <c r="K13">
        <f>SUM(K10:K12)</f>
        <v>4350</v>
      </c>
      <c r="M13">
        <v>1000</v>
      </c>
    </row>
    <row r="14" spans="1:13" x14ac:dyDescent="0.25">
      <c r="A14" t="s">
        <v>110</v>
      </c>
      <c r="B14" s="90">
        <v>200</v>
      </c>
      <c r="C14" s="90">
        <v>200</v>
      </c>
      <c r="E14">
        <v>0</v>
      </c>
      <c r="M14">
        <f>SUM(M10:M13)</f>
        <v>3400</v>
      </c>
    </row>
    <row r="15" spans="1:13" x14ac:dyDescent="0.25">
      <c r="A15" t="s">
        <v>311</v>
      </c>
      <c r="E15">
        <v>884</v>
      </c>
      <c r="G15" t="s">
        <v>319</v>
      </c>
    </row>
    <row r="16" spans="1:13" x14ac:dyDescent="0.25">
      <c r="A16" t="s">
        <v>312</v>
      </c>
      <c r="B16">
        <v>0</v>
      </c>
    </row>
    <row r="18" spans="1:12" x14ac:dyDescent="0.25">
      <c r="A18" s="92" t="s">
        <v>279</v>
      </c>
      <c r="B18" s="92">
        <f>SUM(B6:B14)</f>
        <v>9100</v>
      </c>
      <c r="C18" s="92">
        <f>C6+B7+C8+C9+B10+B14</f>
        <v>5796</v>
      </c>
      <c r="D18" s="92"/>
      <c r="E18" s="92">
        <f>SUM(E6:E15)+F6</f>
        <v>4384</v>
      </c>
      <c r="K18">
        <v>5484</v>
      </c>
    </row>
    <row r="19" spans="1:12" x14ac:dyDescent="0.25">
      <c r="L19">
        <f>K18-3100</f>
        <v>2384</v>
      </c>
    </row>
    <row r="20" spans="1:12" x14ac:dyDescent="0.25">
      <c r="A20" t="s">
        <v>285</v>
      </c>
      <c r="B20">
        <f>B1-C18-E18</f>
        <v>2000</v>
      </c>
      <c r="G20" t="s">
        <v>314</v>
      </c>
    </row>
    <row r="22" spans="1:12" x14ac:dyDescent="0.25">
      <c r="K22">
        <v>6676890423</v>
      </c>
    </row>
  </sheetData>
  <mergeCells count="1">
    <mergeCell ref="A5:B5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C60C49-0DC6-481B-95EF-126E2F197357}">
  <dimension ref="A1:M19"/>
  <sheetViews>
    <sheetView zoomScale="98" workbookViewId="0">
      <selection activeCell="K12" sqref="K12"/>
    </sheetView>
  </sheetViews>
  <sheetFormatPr baseColWidth="10" defaultRowHeight="12.5" x14ac:dyDescent="0.25"/>
  <cols>
    <col min="1" max="1" width="18.1796875" bestFit="1" customWidth="1"/>
    <col min="3" max="3" width="16.08984375" bestFit="1" customWidth="1"/>
    <col min="7" max="7" width="22.08984375" bestFit="1" customWidth="1"/>
  </cols>
  <sheetData>
    <row r="1" spans="1:13" x14ac:dyDescent="0.25">
      <c r="A1" t="s">
        <v>200</v>
      </c>
      <c r="B1">
        <f>2500+7498.51+1750</f>
        <v>11748.51</v>
      </c>
    </row>
    <row r="2" spans="1:13" x14ac:dyDescent="0.25">
      <c r="A2" t="s">
        <v>235</v>
      </c>
      <c r="B2">
        <v>0</v>
      </c>
    </row>
    <row r="5" spans="1:13" x14ac:dyDescent="0.25">
      <c r="A5" s="115" t="s">
        <v>321</v>
      </c>
      <c r="B5" s="115"/>
      <c r="C5" t="s">
        <v>315</v>
      </c>
    </row>
    <row r="6" spans="1:13" x14ac:dyDescent="0.25">
      <c r="A6" s="89" t="s">
        <v>219</v>
      </c>
      <c r="B6" s="89">
        <v>4000</v>
      </c>
    </row>
    <row r="7" spans="1:13" x14ac:dyDescent="0.25">
      <c r="A7" s="90" t="s">
        <v>111</v>
      </c>
      <c r="B7" s="90">
        <v>1750</v>
      </c>
      <c r="C7" s="90"/>
    </row>
    <row r="8" spans="1:13" x14ac:dyDescent="0.25">
      <c r="A8" s="89" t="s">
        <v>123</v>
      </c>
      <c r="B8" s="89">
        <v>1000</v>
      </c>
    </row>
    <row r="9" spans="1:13" x14ac:dyDescent="0.25">
      <c r="A9" s="61" t="s">
        <v>292</v>
      </c>
      <c r="B9">
        <v>2175</v>
      </c>
      <c r="C9" t="s">
        <v>330</v>
      </c>
      <c r="K9" t="s">
        <v>313</v>
      </c>
    </row>
    <row r="10" spans="1:13" x14ac:dyDescent="0.25">
      <c r="A10" s="61" t="s">
        <v>323</v>
      </c>
      <c r="B10">
        <v>500</v>
      </c>
      <c r="K10">
        <v>2200</v>
      </c>
      <c r="M10">
        <v>1000</v>
      </c>
    </row>
    <row r="11" spans="1:13" x14ac:dyDescent="0.25">
      <c r="A11" t="s">
        <v>110</v>
      </c>
      <c r="B11">
        <f>81+536</f>
        <v>617</v>
      </c>
      <c r="C11" t="s">
        <v>325</v>
      </c>
      <c r="K11">
        <v>350</v>
      </c>
      <c r="M11">
        <v>500</v>
      </c>
    </row>
    <row r="12" spans="1:13" x14ac:dyDescent="0.25">
      <c r="A12" t="s">
        <v>326</v>
      </c>
      <c r="B12">
        <f>180.58+1403.88</f>
        <v>1584.46</v>
      </c>
      <c r="C12" t="s">
        <v>327</v>
      </c>
      <c r="K12">
        <v>1800</v>
      </c>
      <c r="M12">
        <v>900</v>
      </c>
    </row>
    <row r="13" spans="1:13" x14ac:dyDescent="0.25">
      <c r="J13">
        <f>K13/2</f>
        <v>2175</v>
      </c>
      <c r="K13">
        <f>SUM(K10:K12)</f>
        <v>4350</v>
      </c>
      <c r="M13">
        <v>1000</v>
      </c>
    </row>
    <row r="14" spans="1:13" x14ac:dyDescent="0.25">
      <c r="A14" t="s">
        <v>322</v>
      </c>
      <c r="B14" s="90">
        <f>2376/3</f>
        <v>792</v>
      </c>
      <c r="C14" t="s">
        <v>324</v>
      </c>
      <c r="M14">
        <f>SUM(M10:M13)</f>
        <v>3400</v>
      </c>
    </row>
    <row r="15" spans="1:13" x14ac:dyDescent="0.25">
      <c r="B15">
        <v>0</v>
      </c>
    </row>
    <row r="16" spans="1:13" x14ac:dyDescent="0.25">
      <c r="A16" t="s">
        <v>328</v>
      </c>
      <c r="B16" t="s">
        <v>329</v>
      </c>
    </row>
    <row r="17" spans="1:5" x14ac:dyDescent="0.25">
      <c r="A17" s="92" t="s">
        <v>279</v>
      </c>
      <c r="B17" s="92">
        <f>SUM(B6:B12)</f>
        <v>11626.46</v>
      </c>
      <c r="C17" s="92"/>
      <c r="D17" s="92"/>
      <c r="E17" s="92"/>
    </row>
    <row r="19" spans="1:5" x14ac:dyDescent="0.25">
      <c r="A19" t="s">
        <v>285</v>
      </c>
      <c r="B19">
        <f>B1-B17-E17</f>
        <v>122.05000000000109</v>
      </c>
    </row>
  </sheetData>
  <mergeCells count="1">
    <mergeCell ref="A5:B5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181086-00AB-4AA8-B4FB-528D2F8137E5}">
  <dimension ref="A1:B19"/>
  <sheetViews>
    <sheetView zoomScale="98" workbookViewId="0">
      <selection activeCell="B19" sqref="B19"/>
    </sheetView>
  </sheetViews>
  <sheetFormatPr baseColWidth="10" defaultRowHeight="12.5" x14ac:dyDescent="0.25"/>
  <cols>
    <col min="1" max="1" width="18.1796875" bestFit="1" customWidth="1"/>
    <col min="3" max="3" width="16.08984375" bestFit="1" customWidth="1"/>
    <col min="7" max="7" width="22.08984375" bestFit="1" customWidth="1"/>
  </cols>
  <sheetData>
    <row r="1" spans="1:2" x14ac:dyDescent="0.25">
      <c r="A1" t="s">
        <v>200</v>
      </c>
      <c r="B1">
        <v>10918.24</v>
      </c>
    </row>
    <row r="2" spans="1:2" x14ac:dyDescent="0.25">
      <c r="A2" t="s">
        <v>235</v>
      </c>
    </row>
    <row r="5" spans="1:2" x14ac:dyDescent="0.25">
      <c r="A5" s="115" t="s">
        <v>321</v>
      </c>
      <c r="B5" s="115"/>
    </row>
    <row r="6" spans="1:2" x14ac:dyDescent="0.25">
      <c r="A6" s="89" t="s">
        <v>219</v>
      </c>
      <c r="B6" s="89">
        <f>4000-900-1000</f>
        <v>2100</v>
      </c>
    </row>
    <row r="7" spans="1:2" x14ac:dyDescent="0.25">
      <c r="A7" s="90" t="s">
        <v>111</v>
      </c>
      <c r="B7" s="90">
        <v>1800</v>
      </c>
    </row>
    <row r="8" spans="1:2" x14ac:dyDescent="0.25">
      <c r="A8" s="89" t="s">
        <v>123</v>
      </c>
      <c r="B8">
        <v>1000</v>
      </c>
    </row>
    <row r="9" spans="1:2" x14ac:dyDescent="0.25">
      <c r="A9" s="61" t="s">
        <v>292</v>
      </c>
      <c r="B9" s="89">
        <v>0</v>
      </c>
    </row>
    <row r="10" spans="1:2" x14ac:dyDescent="0.25">
      <c r="A10" s="61" t="s">
        <v>323</v>
      </c>
      <c r="B10" s="90">
        <v>500</v>
      </c>
    </row>
    <row r="11" spans="1:2" x14ac:dyDescent="0.25">
      <c r="A11" t="s">
        <v>332</v>
      </c>
      <c r="B11" s="90">
        <v>0</v>
      </c>
    </row>
    <row r="12" spans="1:2" x14ac:dyDescent="0.25">
      <c r="A12" t="s">
        <v>331</v>
      </c>
      <c r="B12">
        <v>622</v>
      </c>
    </row>
    <row r="13" spans="1:2" x14ac:dyDescent="0.25">
      <c r="A13" t="s">
        <v>334</v>
      </c>
      <c r="B13">
        <v>500</v>
      </c>
    </row>
    <row r="14" spans="1:2" x14ac:dyDescent="0.25">
      <c r="A14" t="s">
        <v>335</v>
      </c>
      <c r="B14">
        <v>3000</v>
      </c>
    </row>
    <row r="17" spans="1:2" x14ac:dyDescent="0.25">
      <c r="A17" s="92" t="s">
        <v>279</v>
      </c>
      <c r="B17" s="92">
        <f>SUM(B6:B14)</f>
        <v>9522</v>
      </c>
    </row>
    <row r="19" spans="1:2" x14ac:dyDescent="0.25">
      <c r="A19" t="s">
        <v>285</v>
      </c>
      <c r="B19">
        <f>B1+B2-B17-E17</f>
        <v>1396.2399999999998</v>
      </c>
    </row>
  </sheetData>
  <mergeCells count="1">
    <mergeCell ref="A5:B5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986322-EC21-4F99-AF3E-7BCA60F7A71A}">
  <dimension ref="A1:H18"/>
  <sheetViews>
    <sheetView zoomScale="98" workbookViewId="0">
      <selection activeCell="D16" sqref="D16"/>
    </sheetView>
  </sheetViews>
  <sheetFormatPr baseColWidth="10" defaultRowHeight="12.5" x14ac:dyDescent="0.25"/>
  <cols>
    <col min="1" max="1" width="21.08984375" bestFit="1" customWidth="1"/>
    <col min="3" max="3" width="16.08984375" bestFit="1" customWidth="1"/>
    <col min="7" max="7" width="22.08984375" bestFit="1" customWidth="1"/>
  </cols>
  <sheetData>
    <row r="1" spans="1:8" x14ac:dyDescent="0.25">
      <c r="A1" t="s">
        <v>200</v>
      </c>
      <c r="B1">
        <v>11500</v>
      </c>
    </row>
    <row r="2" spans="1:8" x14ac:dyDescent="0.25">
      <c r="A2" t="s">
        <v>336</v>
      </c>
      <c r="B2">
        <v>2121</v>
      </c>
    </row>
    <row r="5" spans="1:8" x14ac:dyDescent="0.25">
      <c r="A5" s="115" t="s">
        <v>321</v>
      </c>
      <c r="B5" s="115"/>
    </row>
    <row r="6" spans="1:8" x14ac:dyDescent="0.25">
      <c r="A6" t="s">
        <v>219</v>
      </c>
      <c r="B6" s="94">
        <v>4000</v>
      </c>
    </row>
    <row r="7" spans="1:8" x14ac:dyDescent="0.25">
      <c r="A7" t="s">
        <v>111</v>
      </c>
      <c r="B7" s="94">
        <f>1800+600</f>
        <v>2400</v>
      </c>
    </row>
    <row r="8" spans="1:8" x14ac:dyDescent="0.25">
      <c r="A8" t="s">
        <v>123</v>
      </c>
      <c r="B8" s="94">
        <v>400</v>
      </c>
      <c r="E8" t="s">
        <v>346</v>
      </c>
      <c r="G8" t="s">
        <v>347</v>
      </c>
      <c r="H8" t="s">
        <v>348</v>
      </c>
    </row>
    <row r="9" spans="1:8" x14ac:dyDescent="0.25">
      <c r="A9" s="61" t="s">
        <v>292</v>
      </c>
      <c r="B9" s="94">
        <v>2200</v>
      </c>
      <c r="E9">
        <v>4776</v>
      </c>
      <c r="G9">
        <f>E9-B9</f>
        <v>2576</v>
      </c>
      <c r="H9">
        <f>G9-B15</f>
        <v>2126</v>
      </c>
    </row>
    <row r="10" spans="1:8" x14ac:dyDescent="0.25">
      <c r="A10" s="61" t="s">
        <v>323</v>
      </c>
      <c r="B10" s="94">
        <v>500</v>
      </c>
    </row>
    <row r="11" spans="1:8" x14ac:dyDescent="0.25">
      <c r="A11" t="s">
        <v>332</v>
      </c>
      <c r="B11" s="94">
        <v>965</v>
      </c>
    </row>
    <row r="12" spans="1:8" x14ac:dyDescent="0.25">
      <c r="A12" s="61" t="s">
        <v>350</v>
      </c>
      <c r="B12" s="94">
        <v>200</v>
      </c>
    </row>
    <row r="13" spans="1:8" x14ac:dyDescent="0.25">
      <c r="A13" t="s">
        <v>349</v>
      </c>
      <c r="B13" s="94">
        <v>300</v>
      </c>
    </row>
    <row r="14" spans="1:8" x14ac:dyDescent="0.25">
      <c r="A14" t="s">
        <v>108</v>
      </c>
      <c r="B14" s="94">
        <v>80</v>
      </c>
    </row>
    <row r="15" spans="1:8" x14ac:dyDescent="0.25">
      <c r="A15" t="s">
        <v>160</v>
      </c>
      <c r="B15" s="94">
        <v>450</v>
      </c>
    </row>
    <row r="16" spans="1:8" x14ac:dyDescent="0.25">
      <c r="A16" s="92" t="s">
        <v>279</v>
      </c>
      <c r="B16" s="92">
        <f>SUM(B6:B15)</f>
        <v>11495</v>
      </c>
    </row>
    <row r="18" spans="1:3" x14ac:dyDescent="0.25">
      <c r="A18" s="69" t="s">
        <v>285</v>
      </c>
      <c r="B18" s="69">
        <f>B1+B2-B16</f>
        <v>2126</v>
      </c>
      <c r="C18" s="61" t="s">
        <v>351</v>
      </c>
    </row>
  </sheetData>
  <mergeCells count="1">
    <mergeCell ref="A5:B5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67702A-F903-444B-890B-AF3902E1E121}">
  <dimension ref="A1:K19"/>
  <sheetViews>
    <sheetView zoomScale="98" workbookViewId="0">
      <selection activeCell="G14" sqref="G14"/>
    </sheetView>
  </sheetViews>
  <sheetFormatPr baseColWidth="10" defaultRowHeight="12.5" x14ac:dyDescent="0.25"/>
  <cols>
    <col min="1" max="1" width="21.08984375" bestFit="1" customWidth="1"/>
    <col min="3" max="3" width="16.08984375" bestFit="1" customWidth="1"/>
    <col min="6" max="6" width="24.6328125" bestFit="1" customWidth="1"/>
    <col min="7" max="7" width="22.08984375" bestFit="1" customWidth="1"/>
  </cols>
  <sheetData>
    <row r="1" spans="1:11" x14ac:dyDescent="0.25">
      <c r="A1" t="s">
        <v>200</v>
      </c>
      <c r="B1">
        <v>11785</v>
      </c>
    </row>
    <row r="2" spans="1:11" x14ac:dyDescent="0.25">
      <c r="A2" t="s">
        <v>201</v>
      </c>
      <c r="B2">
        <v>57</v>
      </c>
      <c r="E2">
        <v>6000</v>
      </c>
    </row>
    <row r="5" spans="1:11" x14ac:dyDescent="0.25">
      <c r="A5" s="115" t="s">
        <v>321</v>
      </c>
      <c r="B5" s="115"/>
      <c r="C5" t="s">
        <v>352</v>
      </c>
      <c r="G5" t="s">
        <v>339</v>
      </c>
      <c r="K5" s="95"/>
    </row>
    <row r="6" spans="1:11" x14ac:dyDescent="0.25">
      <c r="A6" t="s">
        <v>219</v>
      </c>
      <c r="B6" s="96">
        <v>2000</v>
      </c>
      <c r="C6" s="96">
        <v>1800</v>
      </c>
      <c r="F6" t="s">
        <v>354</v>
      </c>
      <c r="G6">
        <f>1000*5</f>
        <v>5000</v>
      </c>
    </row>
    <row r="7" spans="1:11" x14ac:dyDescent="0.25">
      <c r="A7" t="s">
        <v>123</v>
      </c>
      <c r="B7" s="96">
        <v>350</v>
      </c>
      <c r="F7" t="s">
        <v>340</v>
      </c>
      <c r="G7">
        <f>45000-31000</f>
        <v>14000</v>
      </c>
    </row>
    <row r="8" spans="1:11" x14ac:dyDescent="0.25">
      <c r="A8" s="61" t="s">
        <v>292</v>
      </c>
      <c r="B8">
        <v>0</v>
      </c>
      <c r="D8">
        <f>B7+B8+B13</f>
        <v>2350</v>
      </c>
      <c r="F8" t="s">
        <v>341</v>
      </c>
      <c r="G8">
        <v>10000</v>
      </c>
    </row>
    <row r="9" spans="1:11" x14ac:dyDescent="0.25">
      <c r="A9" s="61" t="s">
        <v>323</v>
      </c>
      <c r="B9" s="96">
        <v>600</v>
      </c>
      <c r="F9" t="s">
        <v>342</v>
      </c>
      <c r="G9">
        <f>SUM(G6:G8)</f>
        <v>29000</v>
      </c>
    </row>
    <row r="10" spans="1:11" x14ac:dyDescent="0.25">
      <c r="A10" t="s">
        <v>332</v>
      </c>
      <c r="B10">
        <v>0</v>
      </c>
      <c r="C10">
        <f>SUM(B7+B13+B15)</f>
        <v>3650</v>
      </c>
    </row>
    <row r="11" spans="1:11" x14ac:dyDescent="0.25">
      <c r="A11" t="s">
        <v>331</v>
      </c>
      <c r="B11" s="96">
        <v>661</v>
      </c>
      <c r="F11" t="s">
        <v>343</v>
      </c>
    </row>
    <row r="12" spans="1:11" x14ac:dyDescent="0.25">
      <c r="A12" t="s">
        <v>338</v>
      </c>
      <c r="B12" s="96">
        <v>301</v>
      </c>
      <c r="F12" t="s">
        <v>149</v>
      </c>
    </row>
    <row r="13" spans="1:11" x14ac:dyDescent="0.25">
      <c r="A13" t="s">
        <v>337</v>
      </c>
      <c r="B13">
        <v>2000</v>
      </c>
      <c r="F13" t="s">
        <v>344</v>
      </c>
    </row>
    <row r="14" spans="1:11" x14ac:dyDescent="0.25">
      <c r="A14" t="s">
        <v>106</v>
      </c>
      <c r="B14" s="96">
        <v>1000</v>
      </c>
      <c r="F14" t="s">
        <v>345</v>
      </c>
      <c r="G14">
        <f>G9-G12-G13</f>
        <v>29000</v>
      </c>
    </row>
    <row r="15" spans="1:11" x14ac:dyDescent="0.25">
      <c r="A15" t="s">
        <v>353</v>
      </c>
      <c r="B15" s="96">
        <v>1300</v>
      </c>
    </row>
    <row r="16" spans="1:11" x14ac:dyDescent="0.25">
      <c r="A16" t="s">
        <v>355</v>
      </c>
      <c r="B16" s="43">
        <v>1000</v>
      </c>
      <c r="C16" s="97" t="s">
        <v>356</v>
      </c>
    </row>
    <row r="17" spans="1:2" x14ac:dyDescent="0.25">
      <c r="A17" s="92" t="s">
        <v>279</v>
      </c>
      <c r="B17" s="92">
        <f>SUM(B6:B16)</f>
        <v>9212</v>
      </c>
    </row>
    <row r="19" spans="1:2" x14ac:dyDescent="0.25">
      <c r="A19" t="s">
        <v>285</v>
      </c>
      <c r="B19">
        <f>B1+B2-B17</f>
        <v>2630</v>
      </c>
    </row>
  </sheetData>
  <mergeCells count="1">
    <mergeCell ref="A5:B5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777312-4A96-42AF-818E-63893A774E0E}">
  <dimension ref="A1:K19"/>
  <sheetViews>
    <sheetView zoomScale="98" workbookViewId="0">
      <selection activeCell="B13" sqref="B13"/>
    </sheetView>
  </sheetViews>
  <sheetFormatPr baseColWidth="10" defaultRowHeight="12.5" x14ac:dyDescent="0.25"/>
  <cols>
    <col min="1" max="1" width="26.1796875" bestFit="1" customWidth="1"/>
    <col min="3" max="3" width="21.6328125" bestFit="1" customWidth="1"/>
    <col min="6" max="6" width="24.6328125" bestFit="1" customWidth="1"/>
    <col min="7" max="7" width="22.08984375" bestFit="1" customWidth="1"/>
    <col min="10" max="10" width="12" bestFit="1" customWidth="1"/>
  </cols>
  <sheetData>
    <row r="1" spans="1:11" x14ac:dyDescent="0.25">
      <c r="A1" t="s">
        <v>200</v>
      </c>
      <c r="B1">
        <v>11856.67</v>
      </c>
    </row>
    <row r="2" spans="1:11" x14ac:dyDescent="0.25">
      <c r="A2" t="s">
        <v>201</v>
      </c>
      <c r="B2">
        <v>535</v>
      </c>
    </row>
    <row r="5" spans="1:11" x14ac:dyDescent="0.25">
      <c r="A5" s="115" t="s">
        <v>321</v>
      </c>
      <c r="B5" s="115"/>
      <c r="G5" t="s">
        <v>339</v>
      </c>
      <c r="J5" t="s">
        <v>219</v>
      </c>
      <c r="K5" s="95">
        <v>4000</v>
      </c>
    </row>
    <row r="6" spans="1:11" x14ac:dyDescent="0.25">
      <c r="A6" t="s">
        <v>219</v>
      </c>
      <c r="B6" s="96">
        <v>4000</v>
      </c>
      <c r="F6" t="s">
        <v>354</v>
      </c>
      <c r="G6">
        <f>1000*5</f>
        <v>5000</v>
      </c>
      <c r="J6" t="s">
        <v>123</v>
      </c>
      <c r="K6">
        <v>500</v>
      </c>
    </row>
    <row r="7" spans="1:11" x14ac:dyDescent="0.25">
      <c r="A7" t="s">
        <v>123</v>
      </c>
      <c r="B7" s="96">
        <v>600</v>
      </c>
      <c r="F7" t="s">
        <v>340</v>
      </c>
      <c r="G7">
        <f>45000-31000</f>
        <v>14000</v>
      </c>
      <c r="J7" t="s">
        <v>332</v>
      </c>
      <c r="K7">
        <v>870</v>
      </c>
    </row>
    <row r="8" spans="1:11" x14ac:dyDescent="0.25">
      <c r="A8" s="61" t="s">
        <v>292</v>
      </c>
      <c r="B8" s="96">
        <v>1200</v>
      </c>
      <c r="F8" t="s">
        <v>341</v>
      </c>
      <c r="G8">
        <v>10000</v>
      </c>
      <c r="J8" t="s">
        <v>358</v>
      </c>
      <c r="K8">
        <v>650</v>
      </c>
    </row>
    <row r="9" spans="1:11" x14ac:dyDescent="0.25">
      <c r="A9" s="61" t="s">
        <v>160</v>
      </c>
      <c r="B9" s="96">
        <v>450</v>
      </c>
      <c r="F9" t="s">
        <v>342</v>
      </c>
      <c r="G9">
        <f>SUM(G6:G8)</f>
        <v>29000</v>
      </c>
      <c r="J9" t="s">
        <v>359</v>
      </c>
      <c r="K9">
        <v>300</v>
      </c>
    </row>
    <row r="10" spans="1:11" x14ac:dyDescent="0.25">
      <c r="A10" t="s">
        <v>332</v>
      </c>
      <c r="B10" s="96">
        <v>871</v>
      </c>
      <c r="K10" s="95">
        <f>SUM(K5:K9)</f>
        <v>6320</v>
      </c>
    </row>
    <row r="13" spans="1:11" x14ac:dyDescent="0.25">
      <c r="A13" t="s">
        <v>337</v>
      </c>
    </row>
    <row r="14" spans="1:11" x14ac:dyDescent="0.25">
      <c r="A14" t="s">
        <v>357</v>
      </c>
      <c r="C14" s="43"/>
      <c r="D14" s="43"/>
    </row>
    <row r="16" spans="1:11" x14ac:dyDescent="0.25">
      <c r="C16" s="97"/>
    </row>
    <row r="17" spans="1:2" x14ac:dyDescent="0.25">
      <c r="A17" s="92" t="s">
        <v>279</v>
      </c>
      <c r="B17" s="92">
        <f>SUM(B6:B16)</f>
        <v>7121</v>
      </c>
    </row>
    <row r="19" spans="1:2" x14ac:dyDescent="0.25">
      <c r="A19" t="s">
        <v>285</v>
      </c>
      <c r="B19">
        <f>B1+B2-B17</f>
        <v>5270.67</v>
      </c>
    </row>
  </sheetData>
  <mergeCells count="1">
    <mergeCell ref="A5:B5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CAA38-45F8-4FDB-B4F1-5E602048DF7D}">
  <dimension ref="A1:K19"/>
  <sheetViews>
    <sheetView zoomScale="98" workbookViewId="0">
      <selection activeCell="D16" sqref="D16"/>
    </sheetView>
  </sheetViews>
  <sheetFormatPr baseColWidth="10" defaultRowHeight="12.5" x14ac:dyDescent="0.25"/>
  <cols>
    <col min="1" max="1" width="26.1796875" bestFit="1" customWidth="1"/>
    <col min="3" max="3" width="21.6328125" bestFit="1" customWidth="1"/>
    <col min="6" max="6" width="24.6328125" bestFit="1" customWidth="1"/>
    <col min="7" max="7" width="22.08984375" bestFit="1" customWidth="1"/>
    <col min="10" max="10" width="12" bestFit="1" customWidth="1"/>
  </cols>
  <sheetData>
    <row r="1" spans="1:11" x14ac:dyDescent="0.25">
      <c r="A1" t="s">
        <v>200</v>
      </c>
      <c r="B1">
        <v>11783</v>
      </c>
    </row>
    <row r="2" spans="1:11" x14ac:dyDescent="0.25">
      <c r="A2" t="s">
        <v>201</v>
      </c>
      <c r="B2">
        <v>174.64</v>
      </c>
    </row>
    <row r="5" spans="1:11" x14ac:dyDescent="0.25">
      <c r="A5" s="115" t="s">
        <v>321</v>
      </c>
      <c r="B5" s="115"/>
      <c r="G5" t="s">
        <v>339</v>
      </c>
      <c r="K5" s="95"/>
    </row>
    <row r="6" spans="1:11" x14ac:dyDescent="0.25">
      <c r="A6" t="s">
        <v>219</v>
      </c>
      <c r="B6" s="96">
        <v>3200</v>
      </c>
      <c r="F6" t="s">
        <v>354</v>
      </c>
      <c r="G6">
        <v>0</v>
      </c>
    </row>
    <row r="7" spans="1:11" x14ac:dyDescent="0.25">
      <c r="A7" t="s">
        <v>123</v>
      </c>
      <c r="B7" s="96">
        <v>600</v>
      </c>
      <c r="F7" t="s">
        <v>340</v>
      </c>
      <c r="G7">
        <v>18000</v>
      </c>
    </row>
    <row r="8" spans="1:11" x14ac:dyDescent="0.25">
      <c r="A8" s="61" t="s">
        <v>292</v>
      </c>
      <c r="B8" s="96">
        <v>0</v>
      </c>
      <c r="C8" t="s">
        <v>360</v>
      </c>
      <c r="D8">
        <v>1800</v>
      </c>
      <c r="F8" t="s">
        <v>341</v>
      </c>
      <c r="G8">
        <v>10000</v>
      </c>
    </row>
    <row r="9" spans="1:11" x14ac:dyDescent="0.25">
      <c r="A9" s="61" t="s">
        <v>338</v>
      </c>
      <c r="B9" s="96">
        <v>1000</v>
      </c>
      <c r="F9" t="s">
        <v>342</v>
      </c>
      <c r="G9">
        <f>SUM(G6:G8)</f>
        <v>28000</v>
      </c>
    </row>
    <row r="10" spans="1:11" x14ac:dyDescent="0.25">
      <c r="A10" t="s">
        <v>332</v>
      </c>
      <c r="B10" s="96">
        <v>700</v>
      </c>
      <c r="K10" s="95"/>
    </row>
    <row r="11" spans="1:11" x14ac:dyDescent="0.25">
      <c r="A11" t="s">
        <v>106</v>
      </c>
      <c r="B11" s="96">
        <v>2000</v>
      </c>
      <c r="F11" t="s">
        <v>367</v>
      </c>
      <c r="G11" s="41">
        <v>15000</v>
      </c>
    </row>
    <row r="12" spans="1:11" x14ac:dyDescent="0.25">
      <c r="B12" s="96"/>
      <c r="C12" s="41"/>
    </row>
    <row r="13" spans="1:11" x14ac:dyDescent="0.25">
      <c r="C13" s="41"/>
      <c r="D13" s="41"/>
      <c r="G13" s="41">
        <f>G9-G11</f>
        <v>13000</v>
      </c>
    </row>
    <row r="14" spans="1:11" x14ac:dyDescent="0.25">
      <c r="C14" s="43"/>
      <c r="D14" s="43"/>
    </row>
    <row r="16" spans="1:11" x14ac:dyDescent="0.25">
      <c r="C16" s="97"/>
    </row>
    <row r="17" spans="1:2" x14ac:dyDescent="0.25">
      <c r="A17" s="92" t="s">
        <v>279</v>
      </c>
      <c r="B17" s="92">
        <f>SUM(B6:B16)</f>
        <v>7500</v>
      </c>
    </row>
    <row r="19" spans="1:2" x14ac:dyDescent="0.25">
      <c r="A19" t="s">
        <v>285</v>
      </c>
      <c r="B19">
        <f>B1+B2-B17</f>
        <v>4457.6399999999994</v>
      </c>
    </row>
  </sheetData>
  <mergeCells count="1">
    <mergeCell ref="A5:B5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5D4A6D-7D24-485B-8853-E45829E91585}">
  <dimension ref="A1:K19"/>
  <sheetViews>
    <sheetView zoomScale="98" workbookViewId="0">
      <selection activeCell="B11" sqref="B11"/>
    </sheetView>
  </sheetViews>
  <sheetFormatPr baseColWidth="10" defaultRowHeight="12.5" x14ac:dyDescent="0.25"/>
  <cols>
    <col min="1" max="1" width="26.1796875" bestFit="1" customWidth="1"/>
    <col min="3" max="3" width="21.6328125" bestFit="1" customWidth="1"/>
    <col min="6" max="6" width="24.6328125" bestFit="1" customWidth="1"/>
    <col min="7" max="7" width="22.08984375" bestFit="1" customWidth="1"/>
    <col min="10" max="10" width="12" bestFit="1" customWidth="1"/>
  </cols>
  <sheetData>
    <row r="1" spans="1:11" x14ac:dyDescent="0.25">
      <c r="A1" t="s">
        <v>200</v>
      </c>
      <c r="B1">
        <v>11700</v>
      </c>
    </row>
    <row r="2" spans="1:11" x14ac:dyDescent="0.25">
      <c r="A2" t="s">
        <v>368</v>
      </c>
      <c r="B2">
        <v>1300</v>
      </c>
    </row>
    <row r="5" spans="1:11" x14ac:dyDescent="0.25">
      <c r="A5" s="115" t="s">
        <v>321</v>
      </c>
      <c r="B5" s="115"/>
      <c r="G5" t="s">
        <v>339</v>
      </c>
      <c r="K5" s="95"/>
    </row>
    <row r="6" spans="1:11" x14ac:dyDescent="0.25">
      <c r="A6" t="s">
        <v>219</v>
      </c>
      <c r="B6">
        <v>4000</v>
      </c>
      <c r="F6" t="s">
        <v>354</v>
      </c>
      <c r="G6">
        <v>0</v>
      </c>
    </row>
    <row r="7" spans="1:11" x14ac:dyDescent="0.25">
      <c r="A7" t="s">
        <v>123</v>
      </c>
      <c r="B7">
        <v>1000</v>
      </c>
      <c r="F7" t="s">
        <v>340</v>
      </c>
      <c r="G7">
        <v>18000</v>
      </c>
    </row>
    <row r="8" spans="1:11" x14ac:dyDescent="0.25">
      <c r="A8" s="61" t="s">
        <v>292</v>
      </c>
      <c r="B8">
        <v>2200</v>
      </c>
      <c r="F8" t="s">
        <v>341</v>
      </c>
      <c r="G8">
        <v>10000</v>
      </c>
    </row>
    <row r="9" spans="1:11" x14ac:dyDescent="0.25">
      <c r="A9" s="61" t="s">
        <v>369</v>
      </c>
      <c r="B9">
        <v>1000</v>
      </c>
      <c r="F9" t="s">
        <v>342</v>
      </c>
      <c r="G9">
        <f>SUM(G6:G8)</f>
        <v>28000</v>
      </c>
    </row>
    <row r="10" spans="1:11" x14ac:dyDescent="0.25">
      <c r="A10" s="61" t="s">
        <v>370</v>
      </c>
      <c r="B10">
        <v>1000</v>
      </c>
      <c r="K10" s="95"/>
    </row>
    <row r="11" spans="1:11" x14ac:dyDescent="0.25">
      <c r="F11" t="s">
        <v>367</v>
      </c>
      <c r="G11" s="41">
        <v>15000</v>
      </c>
    </row>
    <row r="12" spans="1:11" x14ac:dyDescent="0.25">
      <c r="C12" s="41"/>
    </row>
    <row r="13" spans="1:11" x14ac:dyDescent="0.25">
      <c r="C13" s="41"/>
      <c r="D13" s="41"/>
      <c r="G13" s="41">
        <f>G9-G11</f>
        <v>13000</v>
      </c>
    </row>
    <row r="14" spans="1:11" x14ac:dyDescent="0.25">
      <c r="C14" s="43"/>
      <c r="D14" s="43"/>
    </row>
    <row r="16" spans="1:11" x14ac:dyDescent="0.25">
      <c r="C16" s="97"/>
    </row>
    <row r="17" spans="1:2" x14ac:dyDescent="0.25">
      <c r="A17" s="92" t="s">
        <v>279</v>
      </c>
      <c r="B17" s="92">
        <f>SUM(B6:B16)</f>
        <v>9200</v>
      </c>
    </row>
    <row r="19" spans="1:2" x14ac:dyDescent="0.25">
      <c r="A19" t="s">
        <v>285</v>
      </c>
      <c r="B19">
        <f>B1+B2-B17</f>
        <v>3800</v>
      </c>
    </row>
  </sheetData>
  <mergeCells count="1">
    <mergeCell ref="A5:B5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F3C8B-3729-481A-A8FC-AA806F30A1A8}">
  <dimension ref="A1:K20"/>
  <sheetViews>
    <sheetView tabSelected="1" zoomScale="98" workbookViewId="0">
      <selection activeCell="G21" sqref="G21"/>
    </sheetView>
  </sheetViews>
  <sheetFormatPr baseColWidth="10" defaultRowHeight="12.5" x14ac:dyDescent="0.25"/>
  <cols>
    <col min="1" max="1" width="26.1796875" bestFit="1" customWidth="1"/>
    <col min="3" max="3" width="21.6328125" bestFit="1" customWidth="1"/>
    <col min="5" max="5" width="14.453125" bestFit="1" customWidth="1"/>
    <col min="6" max="6" width="24.6328125" bestFit="1" customWidth="1"/>
    <col min="7" max="7" width="22.08984375" bestFit="1" customWidth="1"/>
    <col min="10" max="10" width="12" bestFit="1" customWidth="1"/>
  </cols>
  <sheetData>
    <row r="1" spans="1:11" x14ac:dyDescent="0.25">
      <c r="A1" t="s">
        <v>200</v>
      </c>
      <c r="B1">
        <v>11700</v>
      </c>
    </row>
    <row r="2" spans="1:11" x14ac:dyDescent="0.25">
      <c r="A2" t="s">
        <v>377</v>
      </c>
      <c r="B2">
        <v>3769.1100000000006</v>
      </c>
    </row>
    <row r="3" spans="1:11" x14ac:dyDescent="0.25">
      <c r="A3" t="s">
        <v>376</v>
      </c>
      <c r="B3">
        <v>4658.8900000000003</v>
      </c>
    </row>
    <row r="4" spans="1:11" x14ac:dyDescent="0.25">
      <c r="A4" t="s">
        <v>138</v>
      </c>
      <c r="B4">
        <f>B3+B2+B1</f>
        <v>20128</v>
      </c>
    </row>
    <row r="5" spans="1:11" x14ac:dyDescent="0.25">
      <c r="A5" s="115" t="s">
        <v>321</v>
      </c>
      <c r="B5" s="115"/>
      <c r="D5" t="s">
        <v>378</v>
      </c>
      <c r="K5" s="95"/>
    </row>
    <row r="6" spans="1:11" x14ac:dyDescent="0.25">
      <c r="A6" t="s">
        <v>219</v>
      </c>
      <c r="B6">
        <v>2000</v>
      </c>
      <c r="C6">
        <f>B6+B7+B9</f>
        <v>4300</v>
      </c>
      <c r="D6" t="s">
        <v>208</v>
      </c>
    </row>
    <row r="7" spans="1:11" x14ac:dyDescent="0.25">
      <c r="A7" t="s">
        <v>123</v>
      </c>
      <c r="B7">
        <v>800</v>
      </c>
      <c r="E7" t="s">
        <v>106</v>
      </c>
      <c r="F7">
        <v>1000</v>
      </c>
    </row>
    <row r="8" spans="1:11" x14ac:dyDescent="0.25">
      <c r="A8" s="61" t="s">
        <v>322</v>
      </c>
      <c r="B8">
        <v>3121.27</v>
      </c>
      <c r="E8" t="s">
        <v>379</v>
      </c>
      <c r="F8">
        <v>600</v>
      </c>
    </row>
    <row r="9" spans="1:11" x14ac:dyDescent="0.25">
      <c r="A9" s="61" t="s">
        <v>353</v>
      </c>
      <c r="B9">
        <v>1500</v>
      </c>
      <c r="E9" t="s">
        <v>380</v>
      </c>
      <c r="F9">
        <v>116</v>
      </c>
      <c r="G9" s="46">
        <f>F9+F8+F7</f>
        <v>1716</v>
      </c>
      <c r="H9" s="46" t="s">
        <v>385</v>
      </c>
    </row>
    <row r="10" spans="1:11" x14ac:dyDescent="0.25">
      <c r="A10" s="61"/>
      <c r="E10" t="s">
        <v>386</v>
      </c>
      <c r="F10">
        <v>-1716</v>
      </c>
      <c r="K10" s="95"/>
    </row>
    <row r="11" spans="1:11" x14ac:dyDescent="0.25">
      <c r="G11" s="41"/>
    </row>
    <row r="12" spans="1:11" x14ac:dyDescent="0.25">
      <c r="C12" s="41"/>
    </row>
    <row r="13" spans="1:11" x14ac:dyDescent="0.25">
      <c r="C13" s="41"/>
      <c r="G13" s="41"/>
    </row>
    <row r="14" spans="1:11" x14ac:dyDescent="0.25">
      <c r="C14" s="43"/>
    </row>
    <row r="16" spans="1:11" x14ac:dyDescent="0.25">
      <c r="C16" s="97"/>
    </row>
    <row r="17" spans="1:6" x14ac:dyDescent="0.25">
      <c r="A17" s="92" t="s">
        <v>279</v>
      </c>
      <c r="B17" s="92">
        <f>SUM(B6:B16)</f>
        <v>7421.27</v>
      </c>
      <c r="D17" t="s">
        <v>381</v>
      </c>
    </row>
    <row r="18" spans="1:6" x14ac:dyDescent="0.25">
      <c r="E18" t="s">
        <v>382</v>
      </c>
      <c r="F18">
        <v>500</v>
      </c>
    </row>
    <row r="19" spans="1:6" x14ac:dyDescent="0.25">
      <c r="A19" t="s">
        <v>285</v>
      </c>
      <c r="B19">
        <f>B4-B17</f>
        <v>12706.73</v>
      </c>
      <c r="D19" s="41"/>
      <c r="E19" t="s">
        <v>383</v>
      </c>
      <c r="F19">
        <v>577</v>
      </c>
    </row>
    <row r="20" spans="1:6" x14ac:dyDescent="0.25">
      <c r="D20" s="43"/>
      <c r="E20" t="s">
        <v>384</v>
      </c>
      <c r="F20">
        <v>1500</v>
      </c>
    </row>
  </sheetData>
  <mergeCells count="1">
    <mergeCell ref="A5:B5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5DB6D-596F-406F-B112-C99ADE7BD4A0}">
  <dimension ref="A1:G12"/>
  <sheetViews>
    <sheetView workbookViewId="0">
      <selection activeCell="G7" sqref="G7"/>
    </sheetView>
  </sheetViews>
  <sheetFormatPr baseColWidth="10" defaultRowHeight="12.5" x14ac:dyDescent="0.25"/>
  <cols>
    <col min="1" max="1" width="16.08984375" bestFit="1" customWidth="1"/>
    <col min="2" max="2" width="11.1796875" style="40" bestFit="1" customWidth="1"/>
    <col min="5" max="5" width="11.1796875" style="40" bestFit="1" customWidth="1"/>
    <col min="6" max="6" width="11.1796875" bestFit="1" customWidth="1"/>
  </cols>
  <sheetData>
    <row r="1" spans="1:7" x14ac:dyDescent="0.25">
      <c r="A1" t="s">
        <v>361</v>
      </c>
      <c r="B1" s="40">
        <v>2630</v>
      </c>
      <c r="D1" t="s">
        <v>364</v>
      </c>
      <c r="E1" s="40">
        <v>15000</v>
      </c>
      <c r="F1" s="41">
        <f>E1-B3</f>
        <v>1845</v>
      </c>
      <c r="G1" t="s">
        <v>264</v>
      </c>
    </row>
    <row r="2" spans="1:7" x14ac:dyDescent="0.25">
      <c r="A2" t="s">
        <v>362</v>
      </c>
      <c r="B2" s="40">
        <v>800</v>
      </c>
      <c r="F2">
        <v>10000</v>
      </c>
      <c r="G2" t="s">
        <v>341</v>
      </c>
    </row>
    <row r="3" spans="1:7" x14ac:dyDescent="0.25">
      <c r="A3" t="s">
        <v>371</v>
      </c>
      <c r="B3" s="40">
        <v>13155</v>
      </c>
      <c r="F3">
        <v>3000</v>
      </c>
      <c r="G3" t="s">
        <v>372</v>
      </c>
    </row>
    <row r="4" spans="1:7" x14ac:dyDescent="0.25">
      <c r="F4" s="41">
        <v>12000</v>
      </c>
      <c r="G4" t="s">
        <v>373</v>
      </c>
    </row>
    <row r="5" spans="1:7" x14ac:dyDescent="0.25">
      <c r="F5">
        <v>-6000</v>
      </c>
      <c r="G5" t="s">
        <v>374</v>
      </c>
    </row>
    <row r="6" spans="1:7" x14ac:dyDescent="0.25">
      <c r="F6" s="41">
        <f>SUM(F1:F5)</f>
        <v>20845</v>
      </c>
      <c r="G6" t="s">
        <v>375</v>
      </c>
    </row>
    <row r="8" spans="1:7" x14ac:dyDescent="0.25">
      <c r="A8" t="s">
        <v>363</v>
      </c>
    </row>
    <row r="12" spans="1:7" x14ac:dyDescent="0.25">
      <c r="A12" t="s">
        <v>365</v>
      </c>
      <c r="B12" s="40">
        <f>SUM(B1:B11)</f>
        <v>16585</v>
      </c>
      <c r="D12" t="s">
        <v>366</v>
      </c>
      <c r="E12" s="40">
        <f>E1-B12</f>
        <v>-1585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6BAEF2-3F6C-4F65-A813-B0C4432F6A5E}">
  <dimension ref="A1:J40"/>
  <sheetViews>
    <sheetView topLeftCell="A4" workbookViewId="0">
      <selection activeCell="G21" sqref="G21"/>
    </sheetView>
  </sheetViews>
  <sheetFormatPr baseColWidth="10" defaultRowHeight="12.5" x14ac:dyDescent="0.25"/>
  <cols>
    <col min="1" max="1" width="22.81640625" bestFit="1" customWidth="1"/>
    <col min="2" max="2" width="15.6328125" bestFit="1" customWidth="1"/>
    <col min="3" max="3" width="12" bestFit="1" customWidth="1"/>
    <col min="4" max="4" width="17.54296875" bestFit="1" customWidth="1"/>
    <col min="5" max="5" width="19.36328125" bestFit="1" customWidth="1"/>
  </cols>
  <sheetData>
    <row r="1" spans="1:10" x14ac:dyDescent="0.25">
      <c r="A1" t="s">
        <v>159</v>
      </c>
      <c r="B1" t="s">
        <v>303</v>
      </c>
      <c r="C1" t="s">
        <v>304</v>
      </c>
      <c r="D1" t="s">
        <v>305</v>
      </c>
      <c r="E1" t="s">
        <v>306</v>
      </c>
      <c r="F1" t="s">
        <v>204</v>
      </c>
      <c r="G1" t="s">
        <v>289</v>
      </c>
      <c r="H1" t="s">
        <v>290</v>
      </c>
    </row>
    <row r="2" spans="1:10" x14ac:dyDescent="0.25">
      <c r="C2" s="43">
        <v>5</v>
      </c>
      <c r="F2" t="s">
        <v>207</v>
      </c>
      <c r="G2" s="40">
        <v>0</v>
      </c>
      <c r="H2" s="42">
        <v>0</v>
      </c>
    </row>
    <row r="3" spans="1:10" x14ac:dyDescent="0.25">
      <c r="A3" t="s">
        <v>106</v>
      </c>
      <c r="B3" s="40">
        <v>3000</v>
      </c>
      <c r="C3" s="40">
        <f>B3/$C$2</f>
        <v>600</v>
      </c>
      <c r="D3" s="40">
        <f>C3/$C$2</f>
        <v>120</v>
      </c>
      <c r="E3" s="41">
        <f>D3*2</f>
        <v>240</v>
      </c>
      <c r="F3" t="s">
        <v>208</v>
      </c>
      <c r="G3" s="40">
        <v>6000</v>
      </c>
      <c r="H3" s="42">
        <f>H13/G3</f>
        <v>0.33333333333333331</v>
      </c>
    </row>
    <row r="4" spans="1:10" x14ac:dyDescent="0.25">
      <c r="A4" t="s">
        <v>205</v>
      </c>
      <c r="B4" s="40">
        <v>4000</v>
      </c>
      <c r="C4" s="40">
        <f t="shared" ref="C4:C9" si="0">B4/$C$2</f>
        <v>800</v>
      </c>
      <c r="D4" s="40">
        <f t="shared" ref="D4:D9" si="1">C4/$C$2</f>
        <v>160</v>
      </c>
      <c r="E4" s="41">
        <f t="shared" ref="E4:E11" si="2">D4*2</f>
        <v>320</v>
      </c>
      <c r="F4" t="s">
        <v>209</v>
      </c>
      <c r="G4" s="40">
        <v>22000</v>
      </c>
      <c r="H4" s="42">
        <f>B35/G4</f>
        <v>0.69090909090909092</v>
      </c>
    </row>
    <row r="5" spans="1:10" x14ac:dyDescent="0.25">
      <c r="A5" t="s">
        <v>206</v>
      </c>
      <c r="B5" s="40">
        <v>1200</v>
      </c>
      <c r="C5" s="40">
        <f t="shared" si="0"/>
        <v>240</v>
      </c>
      <c r="D5" s="40">
        <f t="shared" si="1"/>
        <v>48</v>
      </c>
      <c r="E5" s="41">
        <f t="shared" si="2"/>
        <v>96</v>
      </c>
      <c r="F5" t="s">
        <v>287</v>
      </c>
      <c r="G5" s="40">
        <f>2200*4</f>
        <v>8800</v>
      </c>
      <c r="H5" s="42">
        <f>H12/G5</f>
        <v>0.40909090909090912</v>
      </c>
    </row>
    <row r="6" spans="1:10" x14ac:dyDescent="0.25">
      <c r="A6" t="s">
        <v>288</v>
      </c>
      <c r="B6" s="40">
        <v>8000</v>
      </c>
      <c r="C6" s="40">
        <f>B6/$C$2</f>
        <v>1600</v>
      </c>
      <c r="D6" s="40">
        <f t="shared" si="1"/>
        <v>320</v>
      </c>
      <c r="E6" s="41">
        <f t="shared" si="2"/>
        <v>640</v>
      </c>
    </row>
    <row r="7" spans="1:10" x14ac:dyDescent="0.25">
      <c r="A7" t="s">
        <v>160</v>
      </c>
      <c r="B7" s="40">
        <v>450</v>
      </c>
      <c r="C7" s="40">
        <f t="shared" si="0"/>
        <v>90</v>
      </c>
      <c r="D7" s="40">
        <f t="shared" si="1"/>
        <v>18</v>
      </c>
      <c r="E7" s="41">
        <f t="shared" si="2"/>
        <v>36</v>
      </c>
      <c r="G7" s="41">
        <f>(G5/4)-D11</f>
        <v>1300</v>
      </c>
      <c r="H7" s="41">
        <f>(G3/4)-D11</f>
        <v>600</v>
      </c>
    </row>
    <row r="8" spans="1:10" x14ac:dyDescent="0.25">
      <c r="A8" t="s">
        <v>108</v>
      </c>
      <c r="B8" s="40">
        <v>350</v>
      </c>
      <c r="C8" s="40">
        <f t="shared" si="0"/>
        <v>70</v>
      </c>
      <c r="D8" s="40">
        <f t="shared" si="1"/>
        <v>14</v>
      </c>
      <c r="E8" s="41">
        <f t="shared" si="2"/>
        <v>28</v>
      </c>
    </row>
    <row r="9" spans="1:10" x14ac:dyDescent="0.25">
      <c r="A9" t="s">
        <v>107</v>
      </c>
      <c r="B9" s="40">
        <v>500</v>
      </c>
      <c r="C9" s="40">
        <f t="shared" si="0"/>
        <v>100</v>
      </c>
      <c r="D9" s="40">
        <f t="shared" si="1"/>
        <v>20</v>
      </c>
      <c r="E9" s="41">
        <f t="shared" si="2"/>
        <v>40</v>
      </c>
    </row>
    <row r="10" spans="1:10" x14ac:dyDescent="0.25">
      <c r="B10" s="40"/>
      <c r="C10" s="40"/>
      <c r="D10" s="40"/>
      <c r="E10" s="41"/>
    </row>
    <row r="11" spans="1:10" x14ac:dyDescent="0.25">
      <c r="A11" s="46" t="s">
        <v>210</v>
      </c>
      <c r="B11" s="76">
        <f>SUM(B3:B9)</f>
        <v>17500</v>
      </c>
      <c r="C11" s="76">
        <f>SUM(C3:C9)</f>
        <v>3500</v>
      </c>
      <c r="D11" s="76">
        <v>900</v>
      </c>
      <c r="E11" s="41">
        <f t="shared" si="2"/>
        <v>1800</v>
      </c>
      <c r="F11" s="41"/>
    </row>
    <row r="12" spans="1:10" x14ac:dyDescent="0.25">
      <c r="G12" s="41" t="s">
        <v>309</v>
      </c>
      <c r="H12" s="41">
        <f>D11*4</f>
        <v>3600</v>
      </c>
      <c r="J12" s="41"/>
    </row>
    <row r="13" spans="1:10" x14ac:dyDescent="0.25">
      <c r="G13" t="s">
        <v>208</v>
      </c>
      <c r="H13">
        <v>2000</v>
      </c>
    </row>
    <row r="14" spans="1:10" x14ac:dyDescent="0.25">
      <c r="C14" s="41"/>
      <c r="D14" s="41"/>
    </row>
    <row r="18" spans="1:6" x14ac:dyDescent="0.25">
      <c r="B18" t="s">
        <v>77</v>
      </c>
      <c r="C18" t="s">
        <v>103</v>
      </c>
      <c r="D18" t="s">
        <v>308</v>
      </c>
    </row>
    <row r="19" spans="1:6" x14ac:dyDescent="0.25">
      <c r="A19" t="s">
        <v>297</v>
      </c>
      <c r="B19">
        <v>22000</v>
      </c>
      <c r="C19">
        <v>11000</v>
      </c>
      <c r="D19">
        <f>C19/2</f>
        <v>5500</v>
      </c>
    </row>
    <row r="21" spans="1:6" x14ac:dyDescent="0.25">
      <c r="A21" t="s">
        <v>106</v>
      </c>
      <c r="B21" s="41">
        <f>C3*2</f>
        <v>1200</v>
      </c>
      <c r="C21" s="41">
        <f>B21/2</f>
        <v>600</v>
      </c>
      <c r="D21" s="41">
        <f>C21/2</f>
        <v>300</v>
      </c>
      <c r="E21" s="41"/>
      <c r="F21" s="41"/>
    </row>
    <row r="22" spans="1:6" x14ac:dyDescent="0.25">
      <c r="A22" t="s">
        <v>298</v>
      </c>
      <c r="B22" s="41">
        <f>C4*2</f>
        <v>1600</v>
      </c>
      <c r="C22" s="41">
        <f t="shared" ref="C22:C27" si="3">B22/2</f>
        <v>800</v>
      </c>
      <c r="D22" s="41">
        <f t="shared" ref="D22:D37" si="4">C22/2</f>
        <v>400</v>
      </c>
    </row>
    <row r="23" spans="1:6" x14ac:dyDescent="0.25">
      <c r="A23" t="s">
        <v>206</v>
      </c>
      <c r="B23" s="41">
        <f>C5*2</f>
        <v>480</v>
      </c>
      <c r="C23" s="41">
        <f t="shared" si="3"/>
        <v>240</v>
      </c>
      <c r="D23" s="41">
        <f t="shared" si="4"/>
        <v>120</v>
      </c>
    </row>
    <row r="24" spans="1:6" x14ac:dyDescent="0.25">
      <c r="A24" t="s">
        <v>288</v>
      </c>
      <c r="B24" s="41">
        <f>C6*2</f>
        <v>3200</v>
      </c>
      <c r="C24" s="41">
        <f t="shared" si="3"/>
        <v>1600</v>
      </c>
      <c r="D24" s="41">
        <f t="shared" si="4"/>
        <v>800</v>
      </c>
    </row>
    <row r="25" spans="1:6" x14ac:dyDescent="0.25">
      <c r="A25" t="s">
        <v>160</v>
      </c>
      <c r="B25" s="41">
        <f t="shared" ref="B25:B27" si="5">C7*2</f>
        <v>180</v>
      </c>
      <c r="C25" s="41">
        <f t="shared" si="3"/>
        <v>90</v>
      </c>
      <c r="D25" s="41">
        <f t="shared" si="4"/>
        <v>45</v>
      </c>
    </row>
    <row r="26" spans="1:6" x14ac:dyDescent="0.25">
      <c r="A26" t="s">
        <v>108</v>
      </c>
      <c r="B26" s="41">
        <f>C8*2</f>
        <v>140</v>
      </c>
      <c r="C26" s="41">
        <f t="shared" si="3"/>
        <v>70</v>
      </c>
      <c r="D26" s="41">
        <f t="shared" si="4"/>
        <v>35</v>
      </c>
    </row>
    <row r="27" spans="1:6" x14ac:dyDescent="0.25">
      <c r="A27" t="s">
        <v>107</v>
      </c>
      <c r="B27" s="41">
        <f t="shared" si="5"/>
        <v>200</v>
      </c>
      <c r="C27" s="41">
        <f t="shared" si="3"/>
        <v>100</v>
      </c>
      <c r="D27" s="41">
        <f t="shared" si="4"/>
        <v>50</v>
      </c>
    </row>
    <row r="28" spans="1:6" x14ac:dyDescent="0.25">
      <c r="A28" t="s">
        <v>299</v>
      </c>
      <c r="B28">
        <v>2000</v>
      </c>
      <c r="C28" s="41">
        <f>B28/2</f>
        <v>1000</v>
      </c>
      <c r="D28" s="41">
        <f t="shared" si="4"/>
        <v>500</v>
      </c>
    </row>
    <row r="29" spans="1:6" x14ac:dyDescent="0.25">
      <c r="A29" t="s">
        <v>300</v>
      </c>
      <c r="B29">
        <v>2000</v>
      </c>
      <c r="C29" s="41">
        <f>B29/2</f>
        <v>1000</v>
      </c>
      <c r="D29" s="41">
        <f t="shared" si="4"/>
        <v>500</v>
      </c>
    </row>
    <row r="30" spans="1:6" x14ac:dyDescent="0.25">
      <c r="A30" t="s">
        <v>111</v>
      </c>
      <c r="B30">
        <f>1750*2</f>
        <v>3500</v>
      </c>
      <c r="C30">
        <v>1750</v>
      </c>
      <c r="D30" s="41">
        <f t="shared" si="4"/>
        <v>875</v>
      </c>
    </row>
    <row r="31" spans="1:6" x14ac:dyDescent="0.25">
      <c r="A31" t="s">
        <v>302</v>
      </c>
      <c r="B31">
        <f>600+100</f>
        <v>700</v>
      </c>
      <c r="C31" s="41">
        <f>B31/2</f>
        <v>350</v>
      </c>
      <c r="D31" s="41">
        <f t="shared" si="4"/>
        <v>175</v>
      </c>
    </row>
    <row r="32" spans="1:6" x14ac:dyDescent="0.25">
      <c r="A32" t="s">
        <v>307</v>
      </c>
      <c r="B32">
        <v>0</v>
      </c>
      <c r="C32" s="41">
        <f>B32/2</f>
        <v>0</v>
      </c>
      <c r="D32" s="41">
        <f t="shared" si="4"/>
        <v>0</v>
      </c>
    </row>
    <row r="33" spans="1:4" x14ac:dyDescent="0.25">
      <c r="A33" t="s">
        <v>108</v>
      </c>
      <c r="C33" s="41"/>
      <c r="D33" s="41"/>
    </row>
    <row r="34" spans="1:4" x14ac:dyDescent="0.25">
      <c r="D34" s="41"/>
    </row>
    <row r="35" spans="1:4" x14ac:dyDescent="0.25">
      <c r="A35" s="46" t="s">
        <v>210</v>
      </c>
      <c r="B35" s="47">
        <f>SUM(B21:B32)</f>
        <v>15200</v>
      </c>
      <c r="C35" s="47">
        <f>SUM(C21:C32)</f>
        <v>7600</v>
      </c>
      <c r="D35" s="41">
        <f>C35/2</f>
        <v>3800</v>
      </c>
    </row>
    <row r="36" spans="1:4" x14ac:dyDescent="0.25">
      <c r="D36" s="41"/>
    </row>
    <row r="37" spans="1:4" x14ac:dyDescent="0.25">
      <c r="A37" s="43" t="s">
        <v>301</v>
      </c>
      <c r="B37" s="48">
        <f>B19-B35</f>
        <v>6800</v>
      </c>
      <c r="C37" s="48">
        <f>C19-C35</f>
        <v>3400</v>
      </c>
      <c r="D37" s="41">
        <f t="shared" si="4"/>
        <v>1700</v>
      </c>
    </row>
    <row r="40" spans="1:4" x14ac:dyDescent="0.25">
      <c r="C40" s="41"/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E7895E-6BEA-4F1F-A29C-5D182732814B}">
  <dimension ref="A1:C10"/>
  <sheetViews>
    <sheetView zoomScale="141" workbookViewId="0">
      <selection activeCell="D10" sqref="D10"/>
    </sheetView>
  </sheetViews>
  <sheetFormatPr baseColWidth="10" defaultRowHeight="12.5" x14ac:dyDescent="0.25"/>
  <cols>
    <col min="1" max="1" width="36" bestFit="1" customWidth="1"/>
    <col min="2" max="2" width="12.453125" style="40" bestFit="1" customWidth="1"/>
  </cols>
  <sheetData>
    <row r="1" spans="1:3" x14ac:dyDescent="0.25">
      <c r="A1" t="s">
        <v>251</v>
      </c>
      <c r="B1" s="76">
        <v>20400</v>
      </c>
      <c r="C1" t="s">
        <v>252</v>
      </c>
    </row>
    <row r="2" spans="1:3" x14ac:dyDescent="0.25">
      <c r="A2" t="s">
        <v>253</v>
      </c>
      <c r="B2" s="76">
        <v>31000</v>
      </c>
    </row>
    <row r="3" spans="1:3" x14ac:dyDescent="0.25">
      <c r="A3" t="s">
        <v>254</v>
      </c>
      <c r="B3" s="40">
        <v>51113.89</v>
      </c>
    </row>
    <row r="4" spans="1:3" x14ac:dyDescent="0.25">
      <c r="A4" t="s">
        <v>255</v>
      </c>
      <c r="B4" s="40">
        <v>38520.949999999997</v>
      </c>
      <c r="C4" s="41">
        <f>B1+B2+B6+B7</f>
        <v>60048.07</v>
      </c>
    </row>
    <row r="5" spans="1:3" x14ac:dyDescent="0.25">
      <c r="A5" t="s">
        <v>256</v>
      </c>
      <c r="B5" s="40">
        <v>15915.93</v>
      </c>
    </row>
    <row r="6" spans="1:3" x14ac:dyDescent="0.25">
      <c r="A6" t="s">
        <v>257</v>
      </c>
      <c r="B6" s="76">
        <v>6239.78</v>
      </c>
    </row>
    <row r="7" spans="1:3" x14ac:dyDescent="0.25">
      <c r="A7" t="s">
        <v>186</v>
      </c>
      <c r="B7" s="76">
        <f>5058.12-2649.83</f>
        <v>2408.29</v>
      </c>
    </row>
    <row r="8" spans="1:3" x14ac:dyDescent="0.25">
      <c r="A8" t="s">
        <v>258</v>
      </c>
      <c r="B8" s="40">
        <v>2890</v>
      </c>
    </row>
    <row r="10" spans="1:3" x14ac:dyDescent="0.25">
      <c r="B10" s="44">
        <f>SUM(B3:B9)</f>
        <v>117088.83999999998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36689C-02B5-47DA-8F15-D30B4F342DA7}">
  <dimension ref="A1:L12"/>
  <sheetViews>
    <sheetView zoomScaleNormal="100" workbookViewId="0">
      <selection activeCell="L9" sqref="L9"/>
    </sheetView>
  </sheetViews>
  <sheetFormatPr baseColWidth="10" defaultRowHeight="12.5" x14ac:dyDescent="0.25"/>
  <cols>
    <col min="1" max="1" width="12.90625" bestFit="1" customWidth="1"/>
    <col min="2" max="2" width="11.54296875" style="40"/>
    <col min="3" max="3" width="20.08984375" bestFit="1" customWidth="1"/>
    <col min="4" max="4" width="12.453125" style="40" bestFit="1" customWidth="1"/>
  </cols>
  <sheetData>
    <row r="1" spans="1:12" x14ac:dyDescent="0.25">
      <c r="A1" t="s">
        <v>259</v>
      </c>
      <c r="B1" s="40">
        <v>9004.35</v>
      </c>
      <c r="H1" t="s">
        <v>272</v>
      </c>
      <c r="I1">
        <v>16.5</v>
      </c>
    </row>
    <row r="2" spans="1:12" x14ac:dyDescent="0.25">
      <c r="A2" t="s">
        <v>260</v>
      </c>
      <c r="B2" s="40">
        <v>3831.6</v>
      </c>
      <c r="H2" t="s">
        <v>265</v>
      </c>
      <c r="I2">
        <v>10</v>
      </c>
    </row>
    <row r="3" spans="1:12" x14ac:dyDescent="0.25">
      <c r="A3" t="s">
        <v>186</v>
      </c>
      <c r="B3" s="40">
        <v>4000</v>
      </c>
      <c r="H3" t="s">
        <v>266</v>
      </c>
      <c r="I3">
        <v>10</v>
      </c>
    </row>
    <row r="4" spans="1:12" x14ac:dyDescent="0.25">
      <c r="A4" t="s">
        <v>261</v>
      </c>
      <c r="B4" s="40">
        <v>9937.67</v>
      </c>
      <c r="H4" t="s">
        <v>267</v>
      </c>
      <c r="I4">
        <v>10</v>
      </c>
    </row>
    <row r="5" spans="1:12" x14ac:dyDescent="0.25">
      <c r="A5" t="s">
        <v>110</v>
      </c>
      <c r="B5" s="40">
        <v>34315</v>
      </c>
      <c r="H5" t="s">
        <v>268</v>
      </c>
      <c r="I5">
        <v>14</v>
      </c>
    </row>
    <row r="6" spans="1:12" x14ac:dyDescent="0.25">
      <c r="B6" s="44">
        <f>SUM(B1:B5)</f>
        <v>61088.62</v>
      </c>
      <c r="H6" t="s">
        <v>269</v>
      </c>
      <c r="I6">
        <v>16</v>
      </c>
    </row>
    <row r="7" spans="1:12" x14ac:dyDescent="0.25">
      <c r="H7" t="s">
        <v>270</v>
      </c>
      <c r="I7">
        <v>15</v>
      </c>
    </row>
    <row r="8" spans="1:12" x14ac:dyDescent="0.25">
      <c r="H8" t="s">
        <v>271</v>
      </c>
      <c r="I8">
        <v>10</v>
      </c>
    </row>
    <row r="9" spans="1:12" x14ac:dyDescent="0.25">
      <c r="C9" t="s">
        <v>262</v>
      </c>
      <c r="D9" s="40">
        <v>120000</v>
      </c>
      <c r="H9" s="46" t="s">
        <v>210</v>
      </c>
      <c r="I9" s="46">
        <f>SUM(I1:I8)</f>
        <v>101.5</v>
      </c>
      <c r="K9">
        <f>I9/I12</f>
        <v>12.6875</v>
      </c>
      <c r="L9">
        <f>K9*2</f>
        <v>25.375</v>
      </c>
    </row>
    <row r="10" spans="1:12" x14ac:dyDescent="0.25">
      <c r="C10" t="s">
        <v>263</v>
      </c>
      <c r="D10" s="40">
        <f>B6</f>
        <v>61088.62</v>
      </c>
    </row>
    <row r="11" spans="1:12" x14ac:dyDescent="0.25">
      <c r="C11" t="s">
        <v>264</v>
      </c>
      <c r="D11" s="40">
        <f>D9-D10</f>
        <v>58911.38</v>
      </c>
    </row>
    <row r="12" spans="1:12" x14ac:dyDescent="0.25">
      <c r="H12" t="s">
        <v>273</v>
      </c>
      <c r="I12">
        <v>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46ca4980-ef46-49b7-a653-dbb3721aa41d" xsi:nil="true"/>
    <lcf76f155ced4ddcb4097134ff3c332f xmlns="c8f1db25-331e-42ae-9f88-09b76e4d3d75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14F60B256FDF9A40BF8310DED62E252A" ma:contentTypeVersion="12" ma:contentTypeDescription="Crear nuevo documento." ma:contentTypeScope="" ma:versionID="5db7b5e1578bea69767c3f3ca203ac24">
  <xsd:schema xmlns:xsd="http://www.w3.org/2001/XMLSchema" xmlns:xs="http://www.w3.org/2001/XMLSchema" xmlns:p="http://schemas.microsoft.com/office/2006/metadata/properties" xmlns:ns2="c8f1db25-331e-42ae-9f88-09b76e4d3d75" xmlns:ns3="46ca4980-ef46-49b7-a653-dbb3721aa41d" targetNamespace="http://schemas.microsoft.com/office/2006/metadata/properties" ma:root="true" ma:fieldsID="9c1cecb9161a4b5b450eb03a5c691a0b" ns2:_="" ns3:_="">
    <xsd:import namespace="c8f1db25-331e-42ae-9f88-09b76e4d3d75"/>
    <xsd:import namespace="46ca4980-ef46-49b7-a653-dbb3721aa41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8f1db25-331e-42ae-9f88-09b76e4d3d7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2" nillable="true" ma:taxonomy="true" ma:internalName="lcf76f155ced4ddcb4097134ff3c332f" ma:taxonomyFieldName="MediaServiceImageTags" ma:displayName="Etiquetas de imagen" ma:readOnly="false" ma:fieldId="{5cf76f15-5ced-4ddc-b409-7134ff3c332f}" ma:taxonomyMulti="true" ma:sspId="de2fc062-e393-4d23-ba7f-bda7336ca38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ca4980-ef46-49b7-a653-dbb3721aa41d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4f7b3dc-1088-481a-b4c2-f14bbc01198c}" ma:internalName="TaxCatchAll" ma:showField="CatchAllData" ma:web="46ca4980-ef46-49b7-a653-dbb3721aa41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7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F8AD1AC-83E2-4D86-B35A-6DFFD172D46D}">
  <ds:schemaRefs>
    <ds:schemaRef ds:uri="http://purl.org/dc/terms/"/>
    <ds:schemaRef ds:uri="http://purl.org/dc/dcmitype/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purl.org/dc/elements/1.1/"/>
    <ds:schemaRef ds:uri="http://www.w3.org/XML/1998/namespace"/>
    <ds:schemaRef ds:uri="http://schemas.openxmlformats.org/package/2006/metadata/core-properties"/>
    <ds:schemaRef ds:uri="46ca4980-ef46-49b7-a653-dbb3721aa41d"/>
    <ds:schemaRef ds:uri="c8f1db25-331e-42ae-9f88-09b76e4d3d75"/>
  </ds:schemaRefs>
</ds:datastoreItem>
</file>

<file path=customXml/itemProps2.xml><?xml version="1.0" encoding="utf-8"?>
<ds:datastoreItem xmlns:ds="http://schemas.openxmlformats.org/officeDocument/2006/customXml" ds:itemID="{8DF312BA-D23F-4B47-975C-1DC4911AD15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7CC0876-0E80-40C2-A017-A78470CE8E9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8f1db25-331e-42ae-9f88-09b76e4d3d75"/>
    <ds:schemaRef ds:uri="46ca4980-ef46-49b7-a653-dbb3721aa41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32</vt:i4>
      </vt:variant>
    </vt:vector>
  </HeadingPairs>
  <TitlesOfParts>
    <vt:vector size="32" baseType="lpstr">
      <vt:lpstr>Antes del 12-10-2023</vt:lpstr>
      <vt:lpstr>Previo al 12-10-2023</vt:lpstr>
      <vt:lpstr>Modificaciones del 07-11-2023</vt:lpstr>
      <vt:lpstr>TIS 1126 | 19-12-2023</vt:lpstr>
      <vt:lpstr>Hoja1</vt:lpstr>
      <vt:lpstr>Gastos</vt:lpstr>
      <vt:lpstr>Hoja2</vt:lpstr>
      <vt:lpstr>Q1-ene</vt:lpstr>
      <vt:lpstr>Hoja3</vt:lpstr>
      <vt:lpstr>Q2-Ene</vt:lpstr>
      <vt:lpstr>Q1-Feb</vt:lpstr>
      <vt:lpstr>Q2-Feb</vt:lpstr>
      <vt:lpstr>Q1-Mar</vt:lpstr>
      <vt:lpstr>Q2-Mar</vt:lpstr>
      <vt:lpstr>Q1-Abril</vt:lpstr>
      <vt:lpstr>Q1-Abril (2)</vt:lpstr>
      <vt:lpstr>Q1-May</vt:lpstr>
      <vt:lpstr>Q2-May</vt:lpstr>
      <vt:lpstr>Q1-Jun</vt:lpstr>
      <vt:lpstr>Q2-</vt:lpstr>
      <vt:lpstr>Q1 - Jul</vt:lpstr>
      <vt:lpstr>Q1 - Ago</vt:lpstr>
      <vt:lpstr>Q2 - Ago </vt:lpstr>
      <vt:lpstr>Q1 - Sep</vt:lpstr>
      <vt:lpstr>Q2 - Sep</vt:lpstr>
      <vt:lpstr>Q1 - Oct</vt:lpstr>
      <vt:lpstr>Q2 - Oct</vt:lpstr>
      <vt:lpstr>Q1 - Nov</vt:lpstr>
      <vt:lpstr>Inversión Neón</vt:lpstr>
      <vt:lpstr>Gatos de casa</vt:lpstr>
      <vt:lpstr>Todas mis deudas</vt:lpstr>
      <vt:lpstr>Deudas Gris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David Banda</cp:lastModifiedBy>
  <cp:revision/>
  <dcterms:created xsi:type="dcterms:W3CDTF">2023-12-19T19:38:07Z</dcterms:created>
  <dcterms:modified xsi:type="dcterms:W3CDTF">2025-11-21T01:25:25Z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0x01010014F60B256FDF9A40BF8310DED62E252A</vt:lpwstr>
  </property>
  <property fmtid="{D5CDD505-2E9C-101B-9397-08002B2CF9AE}" pid="3" name="MediaServiceImageTags">
    <vt:lpwstr/>
  </property>
</Properties>
</file>